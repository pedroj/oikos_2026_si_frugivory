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ate1904="1"/>
  <mc:AlternateContent xmlns:mc="http://schemas.openxmlformats.org/markup-compatibility/2006">
    <mc:Choice Requires="x15">
      <x15ac:absPath xmlns:x15ac="http://schemas.microsoft.com/office/spreadsheetml/2010/11/ac" url="/Users/pedro/Documents/Working/MS_Oikos_SI-FSD2024/data/raw/"/>
    </mc:Choice>
  </mc:AlternateContent>
  <xr:revisionPtr revIDLastSave="0" documentId="13_ncr:1_{0DD8618B-E66F-4D49-8C50-69B338B6476E}" xr6:coauthVersionLast="47" xr6:coauthVersionMax="47" xr10:uidLastSave="{00000000-0000-0000-0000-000000000000}"/>
  <bookViews>
    <workbookView xWindow="51600" yWindow="1520" windowWidth="43140" windowHeight="24480" tabRatio="292" xr2:uid="{CBC92158-BD2A-6A45-B685-2F003090BE17}"/>
  </bookViews>
  <sheets>
    <sheet name="data" sheetId="4" r:id="rId1"/>
    <sheet name="Datasets" sheetId="1" r:id="rId2"/>
  </sheets>
  <definedNames>
    <definedName name="_xlnm.Print_Area" localSheetId="1">Datasets!$B:$F</definedName>
    <definedName name="sdb20_adj_vis" localSheetId="0">data!#REF!</definedName>
    <definedName name="sdw09_adj_fru" localSheetId="0">data!#REF!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8" i="4" l="1"/>
  <c r="I160" i="4"/>
  <c r="I156" i="4"/>
  <c r="I162" i="4"/>
  <c r="I154" i="4"/>
  <c r="I155" i="4"/>
  <c r="I157" i="4"/>
  <c r="I158" i="4"/>
  <c r="I159" i="4"/>
  <c r="I161" i="4"/>
  <c r="I153" i="4"/>
  <c r="I152" i="4"/>
  <c r="I166" i="4"/>
  <c r="I163" i="4"/>
  <c r="I164" i="4"/>
  <c r="I165" i="4"/>
  <c r="I167" i="4"/>
  <c r="I151" i="4"/>
  <c r="I53" i="4"/>
  <c r="I52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2" i="4"/>
  <c r="I133" i="4"/>
  <c r="I134" i="4"/>
  <c r="I131" i="4"/>
  <c r="I130" i="4"/>
  <c r="I54" i="4"/>
  <c r="I128" i="4"/>
  <c r="I129" i="4"/>
  <c r="I77" i="4"/>
  <c r="I59" i="4"/>
  <c r="I58" i="4"/>
  <c r="I57" i="4"/>
  <c r="I56" i="4"/>
  <c r="I101" i="4"/>
  <c r="I50" i="4"/>
  <c r="I75" i="4"/>
  <c r="I48" i="4"/>
  <c r="I121" i="4"/>
  <c r="I107" i="4"/>
  <c r="I79" i="4"/>
  <c r="I78" i="4"/>
  <c r="I70" i="4"/>
  <c r="I68" i="4"/>
  <c r="I64" i="4"/>
  <c r="I62" i="4"/>
  <c r="I61" i="4"/>
  <c r="I60" i="4"/>
  <c r="G39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9" i="4"/>
  <c r="I51" i="4"/>
  <c r="I55" i="4"/>
  <c r="I63" i="4"/>
  <c r="I65" i="4"/>
  <c r="I66" i="4"/>
  <c r="I67" i="4"/>
  <c r="I69" i="4"/>
  <c r="I71" i="4"/>
  <c r="I72" i="4"/>
  <c r="I73" i="4"/>
  <c r="I74" i="4"/>
  <c r="I124" i="4"/>
  <c r="I125" i="4"/>
  <c r="I126" i="4"/>
  <c r="I127" i="4"/>
  <c r="I76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2" i="4"/>
  <c r="I103" i="4"/>
  <c r="I104" i="4"/>
  <c r="I105" i="4"/>
  <c r="I106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2" i="4"/>
  <c r="I123" i="4"/>
  <c r="I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40" i="4"/>
  <c r="G41" i="4"/>
  <c r="G42" i="4"/>
  <c r="G43" i="4"/>
  <c r="G44" i="4"/>
  <c r="G45" i="4"/>
  <c r="G46" i="4"/>
  <c r="G47" i="4"/>
  <c r="G49" i="4"/>
  <c r="G51" i="4"/>
  <c r="G55" i="4"/>
  <c r="G63" i="4"/>
  <c r="G65" i="4"/>
  <c r="G66" i="4"/>
  <c r="G67" i="4"/>
  <c r="G69" i="4"/>
  <c r="G71" i="4"/>
  <c r="G73" i="4"/>
  <c r="G74" i="4"/>
  <c r="G124" i="4"/>
  <c r="G125" i="4"/>
  <c r="G126" i="4"/>
  <c r="G127" i="4"/>
  <c r="G76" i="4"/>
  <c r="G80" i="4"/>
  <c r="G81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2" i="4"/>
  <c r="G123" i="4"/>
  <c r="G2" i="4"/>
</calcChain>
</file>

<file path=xl/sharedStrings.xml><?xml version="1.0" encoding="utf-8"?>
<sst xmlns="http://schemas.openxmlformats.org/spreadsheetml/2006/main" count="1193" uniqueCount="491">
  <si>
    <t>F-27</t>
  </si>
  <si>
    <t>WESL</t>
  </si>
  <si>
    <t>wesley.txt</t>
  </si>
  <si>
    <t>Silva, W. R., P. De Marco Jr, E. Hasui, and V. S. M. Gomes. 2002. Patterns of fruit-frugivore interactions in two atlantic forest bird communities of South-eastern Brazil: implications for conservation, Pages 423-435 in D. J. Levey, W. R. Silva, and M. Galetti, eds. Seed dispersal and frugivory: ecology, evolution and conservation. Wallingford, UK, CAB International.</t>
  </si>
  <si>
    <t>SNOW</t>
  </si>
  <si>
    <t>TYPE</t>
  </si>
  <si>
    <t>SWEB</t>
  </si>
  <si>
    <t>WEB</t>
  </si>
  <si>
    <t>F-24</t>
  </si>
  <si>
    <t>F-25</t>
  </si>
  <si>
    <t>Baird, J.W. 1980. The selection and use of fruit by birds in an eastern forest. Wilson Bulletin 92: 63-73.</t>
  </si>
  <si>
    <t>Lambert F. (1989) Fig-eating by birds in a Malaysian lowland rain forest. J. Trop. Ecol., 5, 401-412.</t>
  </si>
  <si>
    <t>LAMB</t>
  </si>
  <si>
    <t>BAIR</t>
  </si>
  <si>
    <t>baird.txt</t>
  </si>
  <si>
    <t>lambert.txt</t>
  </si>
  <si>
    <t>Wytham.txt</t>
  </si>
  <si>
    <t>F-26</t>
  </si>
  <si>
    <t>P. Jordano (Unpubl. Data).</t>
  </si>
  <si>
    <t>NNTUR</t>
  </si>
  <si>
    <t>Correhuelas.txt</t>
  </si>
  <si>
    <t>Frost.txt</t>
  </si>
  <si>
    <t>Guitian.txt</t>
  </si>
  <si>
    <t>Hato Raton.txt</t>
  </si>
  <si>
    <t>Kantak.txt</t>
  </si>
  <si>
    <t>CODE</t>
  </si>
  <si>
    <t>Reference</t>
  </si>
  <si>
    <t>BEEH</t>
  </si>
  <si>
    <t>SORE</t>
  </si>
  <si>
    <t>FROS</t>
  </si>
  <si>
    <t>GUIT</t>
  </si>
  <si>
    <t>Guitián J. (1983) Relaciones entre los frutos y los passeriformes en un bosque montano de la cordillera cantabrica occidental. Unpubl. Ph. D. Thesis, Univ. Santiago, Spain.</t>
  </si>
  <si>
    <t>GEN1</t>
  </si>
  <si>
    <t>GEN2</t>
  </si>
  <si>
    <t>KANT</t>
  </si>
  <si>
    <t>WYTH</t>
  </si>
  <si>
    <t>LOPE</t>
  </si>
  <si>
    <t>SAPF</t>
  </si>
  <si>
    <t>MONT</t>
  </si>
  <si>
    <t>CROM</t>
  </si>
  <si>
    <t>F-02</t>
  </si>
  <si>
    <t>nava noguera.txt</t>
  </si>
  <si>
    <t>Beehler.txt</t>
  </si>
  <si>
    <r>
      <t xml:space="preserve">Sorensen A.E. (1981) Interactions between birds and fruit in a temperate woodland. </t>
    </r>
    <r>
      <rPr>
        <i/>
        <sz val="9"/>
        <rFont val="Monaco"/>
        <family val="2"/>
      </rPr>
      <t>Oecologia (Berl.)</t>
    </r>
    <r>
      <rPr>
        <sz val="9"/>
        <rFont val="Monaco"/>
        <family val="2"/>
      </rPr>
      <t>, 50, 242-249.</t>
    </r>
  </si>
  <si>
    <r>
      <t xml:space="preserve">Frost P.G.H. (1980) Fruitfrugivore interactions in a South African coastal dune forest. In: </t>
    </r>
    <r>
      <rPr>
        <i/>
        <sz val="9"/>
        <rFont val="Monaco"/>
        <family val="2"/>
      </rPr>
      <t>Acta XVII Congressus Internationalis Ornithologici</t>
    </r>
    <r>
      <rPr>
        <sz val="9"/>
        <rFont val="Monaco"/>
        <family val="2"/>
      </rPr>
      <t xml:space="preserve"> (ed. Noring R), pp. 1179-1184. Deutsche Ornithologische Ges., Berlin, Germany.</t>
    </r>
  </si>
  <si>
    <t>FILE</t>
  </si>
  <si>
    <t>CORR</t>
  </si>
  <si>
    <t>HRAT</t>
  </si>
  <si>
    <t>VISO</t>
  </si>
  <si>
    <r>
      <t xml:space="preserve">Tutin C.E.G., Ham R.M., White L.J.T. &amp; Harrison M.J.S. (1997) The primate community of the Lopé Reserve, Gabon: diets, responses to fruit scarcity, and effects on biomass. </t>
    </r>
    <r>
      <rPr>
        <i/>
        <sz val="9"/>
        <rFont val="Monaco"/>
        <family val="2"/>
      </rPr>
      <t>Am. J. Primatol.</t>
    </r>
    <r>
      <rPr>
        <sz val="9"/>
        <rFont val="Monaco"/>
        <family val="2"/>
      </rPr>
      <t>, 42, 1-24.</t>
    </r>
  </si>
  <si>
    <r>
      <t xml:space="preserve">Noma N. (1997) Annual fluctuations of sapfruits production and synchronization within and inter species in a warm temperate forest on Yakushima Island, Japan. </t>
    </r>
    <r>
      <rPr>
        <i/>
        <sz val="9"/>
        <rFont val="Monaco"/>
        <family val="2"/>
      </rPr>
      <t>Tropics</t>
    </r>
    <r>
      <rPr>
        <sz val="9"/>
        <rFont val="Monaco"/>
        <family val="2"/>
      </rPr>
      <t>, 6, 441-449.</t>
    </r>
  </si>
  <si>
    <r>
      <t xml:space="preserve">Wheelwright N.T., Haber W.A., Murray K.G. &amp; Guindon C. (1984) Tropical fruiteating birds and their food plants: a survey of a Costa Rican lower montane forest. </t>
    </r>
    <r>
      <rPr>
        <i/>
        <sz val="9"/>
        <rFont val="Monaco"/>
        <family val="2"/>
      </rPr>
      <t>Biotropica</t>
    </r>
    <r>
      <rPr>
        <sz val="9"/>
        <rFont val="Monaco"/>
        <family val="2"/>
      </rPr>
      <t>, 16, 173-192.</t>
    </r>
  </si>
  <si>
    <t>No.</t>
  </si>
  <si>
    <t>F-10</t>
  </si>
  <si>
    <t>Sapfruits.txt</t>
  </si>
  <si>
    <t>F-11</t>
  </si>
  <si>
    <t>Sorensen.txt</t>
  </si>
  <si>
    <t>F-12</t>
  </si>
  <si>
    <t>F-13</t>
  </si>
  <si>
    <t>F-14</t>
  </si>
  <si>
    <t>F-15</t>
  </si>
  <si>
    <t>tur-cot.txt</t>
  </si>
  <si>
    <t>F-16</t>
  </si>
  <si>
    <t>tur-csab.txt</t>
  </si>
  <si>
    <t>F-17</t>
  </si>
  <si>
    <t>tur-ctra.txt</t>
  </si>
  <si>
    <t>F-18</t>
  </si>
  <si>
    <t>tur-nch.txt</t>
  </si>
  <si>
    <t>F-19</t>
  </si>
  <si>
    <t>tur-nnog.txt</t>
  </si>
  <si>
    <t>F-20</t>
  </si>
  <si>
    <t>tur-rbd.txt</t>
  </si>
  <si>
    <t>F-21</t>
  </si>
  <si>
    <t>tur-sbaz.txt</t>
  </si>
  <si>
    <t>F-22</t>
  </si>
  <si>
    <t>Viso.txt</t>
  </si>
  <si>
    <t>F-23</t>
  </si>
  <si>
    <r>
      <t xml:space="preserve">Crome F.H.J. (1975) The ecology of fruit pigeons in tropical Northern Queensland. </t>
    </r>
    <r>
      <rPr>
        <i/>
        <sz val="9"/>
        <rFont val="Monaco"/>
        <family val="2"/>
      </rPr>
      <t>Aust. Wildl. Res.</t>
    </r>
    <r>
      <rPr>
        <sz val="9"/>
        <rFont val="Monaco"/>
        <family val="2"/>
      </rPr>
      <t>, 2, 155-185.</t>
    </r>
  </si>
  <si>
    <r>
      <t xml:space="preserve">Snow B.K. &amp; Snow D.W. (1971) The feeding ecology of tanagers and honeycreepers in Trinidad. </t>
    </r>
    <r>
      <rPr>
        <i/>
        <sz val="9"/>
        <rFont val="Monaco"/>
        <family val="2"/>
      </rPr>
      <t>Auk</t>
    </r>
    <r>
      <rPr>
        <sz val="9"/>
        <rFont val="Monaco"/>
        <family val="2"/>
      </rPr>
      <t>, 88, 291-322.</t>
    </r>
  </si>
  <si>
    <r>
      <t xml:space="preserve">Jordano P. (1985) El ciclo anual de los paseriformes frugívoros en el matorral mediterráneo del sur de España: importancia de su invernada y variaciones interanuales. </t>
    </r>
    <r>
      <rPr>
        <i/>
        <sz val="9"/>
        <rFont val="Monaco"/>
        <family val="2"/>
      </rPr>
      <t>Ardeola</t>
    </r>
    <r>
      <rPr>
        <sz val="9"/>
        <rFont val="Monaco"/>
        <family val="2"/>
      </rPr>
      <t>, 32, 69-94.</t>
    </r>
  </si>
  <si>
    <r>
      <t xml:space="preserve">Herrera C.M. (1984) A study of avian frugivores, birddispersed plants, and their interaction in mediterranean scrublands. </t>
    </r>
    <r>
      <rPr>
        <i/>
        <sz val="9"/>
        <rFont val="Monaco"/>
        <family val="2"/>
      </rPr>
      <t>Ecol. Monogr.</t>
    </r>
    <r>
      <rPr>
        <sz val="9"/>
        <rFont val="Monaco"/>
        <family val="2"/>
      </rPr>
      <t>, 54, 1-23.</t>
    </r>
  </si>
  <si>
    <t>F-03</t>
  </si>
  <si>
    <t>F-04</t>
  </si>
  <si>
    <t>F-05</t>
  </si>
  <si>
    <t>F-06</t>
  </si>
  <si>
    <t>F-07</t>
  </si>
  <si>
    <t>F-08</t>
  </si>
  <si>
    <t>F-09</t>
  </si>
  <si>
    <t>F-01</t>
  </si>
  <si>
    <t>SBAZ</t>
  </si>
  <si>
    <t>RBD</t>
  </si>
  <si>
    <t>NNOG</t>
  </si>
  <si>
    <t>NCH</t>
  </si>
  <si>
    <t>CTRA</t>
  </si>
  <si>
    <t>CSAB</t>
  </si>
  <si>
    <t>COT</t>
  </si>
  <si>
    <t>Crome.txt</t>
  </si>
  <si>
    <t>Monteverde.txt</t>
  </si>
  <si>
    <t>PrimatesLope.txt</t>
  </si>
  <si>
    <t>StaGenebra#1.txt</t>
  </si>
  <si>
    <t>StaGenebra#2.txt</t>
  </si>
  <si>
    <t>Trinidad.txt</t>
  </si>
  <si>
    <t>Jordano, P. 1993. Geographical ecology and variation of plant-seed disperser interactions: southern Spanish junipers and frugivorous thrushes, Pages 85-104 in T. H. Fleming, and A. Estrada, eds. Frugivory and seed dispersal: ecological and evolutionary aspects. Dordrecht, The Netherlands, Kluwer Academic Publisher.</t>
  </si>
  <si>
    <r>
      <t xml:space="preserve">Snow B.K. &amp; Snow D.W. (1988) </t>
    </r>
    <r>
      <rPr>
        <i/>
        <sz val="9"/>
        <rFont val="Monaco"/>
        <family val="2"/>
      </rPr>
      <t>Birds and berries</t>
    </r>
    <r>
      <rPr>
        <sz val="9"/>
        <rFont val="Monaco"/>
        <family val="2"/>
      </rPr>
      <t>, Calton, England.</t>
    </r>
  </si>
  <si>
    <r>
      <t xml:space="preserve">Beehler B. (1983) Frugivory and polygamy in birds of paradise. </t>
    </r>
    <r>
      <rPr>
        <i/>
        <sz val="9"/>
        <rFont val="Monaco"/>
        <family val="2"/>
      </rPr>
      <t>Auk</t>
    </r>
    <r>
      <rPr>
        <sz val="9"/>
        <rFont val="Monaco"/>
        <family val="2"/>
      </rPr>
      <t>, 100, 1-11.</t>
    </r>
  </si>
  <si>
    <r>
      <t xml:space="preserve">Galetti M. &amp; Pizo M.A. (1996) Fruit eating birds in a forest fragment in southeastern Brazil. </t>
    </r>
    <r>
      <rPr>
        <i/>
        <sz val="9"/>
        <rFont val="Monaco"/>
        <family val="2"/>
      </rPr>
      <t>Ararajuba, Rev. Brasil. Ornitol.</t>
    </r>
    <r>
      <rPr>
        <sz val="9"/>
        <rFont val="Monaco"/>
        <family val="2"/>
      </rPr>
      <t>, 4, 71-79.</t>
    </r>
  </si>
  <si>
    <r>
      <t xml:space="preserve">Kantak G.E. (1981) Temporal feeding patterns of some tropical frugivores. </t>
    </r>
    <r>
      <rPr>
        <i/>
        <sz val="9"/>
        <rFont val="Monaco"/>
        <family val="2"/>
      </rPr>
      <t>Condor</t>
    </r>
    <r>
      <rPr>
        <sz val="9"/>
        <rFont val="Monaco"/>
        <family val="2"/>
      </rPr>
      <t>, 83, 185-187.</t>
    </r>
  </si>
  <si>
    <t>sdw##</t>
  </si>
  <si>
    <r>
      <t>sd</t>
    </r>
    <r>
      <rPr>
        <sz val="10"/>
        <rFont val="Monaco"/>
        <family val="2"/>
      </rPr>
      <t>b</t>
    </r>
    <r>
      <rPr>
        <sz val="10"/>
        <rFont val="Monaco"/>
        <family val="2"/>
      </rPr>
      <t>##</t>
    </r>
  </si>
  <si>
    <t>F-00</t>
  </si>
  <si>
    <t>CAM</t>
  </si>
  <si>
    <t>camarinal.txt</t>
  </si>
  <si>
    <t>ROBL</t>
  </si>
  <si>
    <t>roblehondo.txt</t>
  </si>
  <si>
    <r>
      <t xml:space="preserve">Pedro Jordano, unpublished data. Mediterranean montane forest, SE Spain.
Olesen, J.M., Bascompte, J., Dupont, Y.L., Elberling, H. &amp; Jordano, P. (2011) Missing and forbidden links in mutualistic networks. </t>
    </r>
    <r>
      <rPr>
        <i/>
        <sz val="9"/>
        <rFont val="Monaco"/>
        <family val="2"/>
      </rPr>
      <t>Proceedings of the Royal Society B-Biological Sciences</t>
    </r>
    <r>
      <rPr>
        <sz val="9"/>
        <rFont val="Monaco"/>
        <family val="2"/>
      </rPr>
      <t>, 278, 725–732.</t>
    </r>
  </si>
  <si>
    <t>P. Jordano (Unpubl. Data). 
Obeso, J.R. (1986) Los pajaros frugívoros: incidencia en la regeneración y conservación de los hábitats de la Sierra de Cazorla. Actas I Congr. Parques Naturales, pp.: 166–170.</t>
  </si>
  <si>
    <t>S</t>
  </si>
  <si>
    <t>A</t>
  </si>
  <si>
    <t>P</t>
  </si>
  <si>
    <t>I</t>
  </si>
  <si>
    <t>C</t>
  </si>
  <si>
    <t>ind</t>
  </si>
  <si>
    <t>El Puntal</t>
  </si>
  <si>
    <t>Quintero, E., Rodríguez‐Sánchez, F., &amp; Jordano, P. (2023). Reciprocity and interaction effectiveness in generalised mutualisms among free‐living species. Ecology Letters, 26(1), 132–146.</t>
  </si>
  <si>
    <t>Laguna de las Madroñas</t>
  </si>
  <si>
    <t>Colonizacion</t>
  </si>
  <si>
    <t>Isla, J., Jácome-Flores, M., Arroyo, J. M., &amp; Jordano, P. (2023). The turnover of plant–frugivore interactions along plant range expansion: Consequences for natural colonization processes. Proceedings of the Royal Society B: Biological Sciences, 290(1999), 20222547.</t>
  </si>
  <si>
    <t>Ojillo</t>
  </si>
  <si>
    <t>El Marqués</t>
  </si>
  <si>
    <t>Los Hornillos</t>
  </si>
  <si>
    <t>Vergara-Tabares, D. L., Blendinger, P. G., Tello, A., Peluc, S. I., &amp; Tecco, P. A. (2022). Fleshy-fruited invasive shrubs indirectly increase native tree seed dispersal. Oikos, 2022(2).</t>
  </si>
  <si>
    <t>Las Calles</t>
  </si>
  <si>
    <t>La Poblacion</t>
  </si>
  <si>
    <t>San Javier</t>
  </si>
  <si>
    <t>Las Rabonas</t>
  </si>
  <si>
    <t>Los Molles</t>
  </si>
  <si>
    <t>Rodríguez-Sánchez, F. (2010). An integrative framework to investigate species responses to climate change: Biogeography and ecology of relict trees in the Mediterranean. PhD Thesis. Universidad de Sevilla, Spain.</t>
  </si>
  <si>
    <t>Jordano, P., &amp; Schupp, E. W. (2000). Seed Disperser Effectiveness: The Quantity Component and Patterns of Seed Rain for Prunus mahaleb. Ecological Monographs, 70(4), 591-615.</t>
  </si>
  <si>
    <t>Restinga</t>
  </si>
  <si>
    <t>Friedemann, P., Côrtes, M. C., de Castro, E. R., Galetti, M., Jordano, P., &amp; Guimarães Jr, P. R. (2022). The individual-based network structure of palm-seed dispersers is explained by a rainforest gradient. Oikos, 2022, e08384.</t>
  </si>
  <si>
    <t>Lowland</t>
  </si>
  <si>
    <t>Premontane</t>
  </si>
  <si>
    <t>Jordano, P. 2024. Material for the course: Curso Posgraduação Frugivoria 2016, UNESP Rio Claro, Brazil. doi: 10.5281/zenodo.10478535.</t>
  </si>
  <si>
    <t>Lamperty, T., Karubian, J., &amp; Dunham, A. E. (2021). Ecological drivers of intraspecific variation in seed dispersal services of a common neotropical palm. Biotropica, 53(4), 1226–1237.</t>
  </si>
  <si>
    <t>Villalva, P., Arroyo-Correa, B., Calvo, G., Homet, P., Isla, J., Mendoza, I., Moracho, E., Quintero, E., Rodríguez-Sánchez, F., &amp; Jordano, P. (2023). FRUGIVORY CAMTRAP: A dataset of plant-animal interactions recorded with camera traps. https://doi.org/10.20350/DIGITALCSIC/15623</t>
  </si>
  <si>
    <t>Matasgordas</t>
  </si>
  <si>
    <t>Jácome-Flores, M. E. et al. 2020. Interaction motifs variability in a Mediterranean palm under environmental disturbances: the mutualism–antagonism continuum. Oikos 129: 367–379.</t>
  </si>
  <si>
    <t>Martinazo</t>
  </si>
  <si>
    <t>Guerra, T. J. et al. 2017. Intraspecific variation in fruit–frugivore interactions: effects of fruiting neighborhood and consequences for seed dispersal. Oecologia 185: 233–243.</t>
  </si>
  <si>
    <t>Araya-San Ignacio</t>
  </si>
  <si>
    <t>Miguel, M.F., Jordano, P., Tabeni, S. and Campos, C.M. (2018), Context-dependency and anthropogenic effects on individual plant–frugivore networks. Oikos, 127: 1045-1059.</t>
  </si>
  <si>
    <t>El Bonito</t>
  </si>
  <si>
    <t>El Doménico</t>
  </si>
  <si>
    <t>Vissoto, M., Vizentin-Bugoni, J., Sendoya, S. F., Gomes, G. C., &amp; Dias, R. A. (2022). Plant height and spatial context influence individual connectivity and specialization on seed dispersers in a tree population. Oecologia, 198(3): 721-731.</t>
  </si>
  <si>
    <t>Moracho, E., Arroyo-Correa, B., Calvo, G., Homet, P., Isla, J., Mendoza, I., Quintero, E., Villalva, P., Rodríguez-Sánchez, F., &amp; Jordano, P. (2023). DONANA-FRUGINT: A dataset of plant-animal interactions. https://doi.org/10.20350/DIGITALCSIC/#####.</t>
  </si>
  <si>
    <t>Thiel, S., Willems, F., Farwig, N., Rehling, F., Schabo, D. G., Schleuning, M., Shahuano Tello, N., Töpfer, T., Tschapka, M., Heymann, E. W., &amp; Heer, K. (2023). Vertically stratified frugivore community composition and interaction frequency in a liana fruiting across forest strata. Biotropica, 55, 650–664</t>
  </si>
  <si>
    <t>Jayanth, A., Isvaran, K., &amp; Naniwadekar, R. (2024). Drivers of intraspecific variation in seed dispersal can differ across two species of fleshy-fruited savanna plants. Biotropica, 56(3), e13322. https://doi.org/10.1111/btp.13322</t>
  </si>
  <si>
    <t>sp</t>
  </si>
  <si>
    <t>Olesen JM, Bascompte J, Dupont YL, Elberling H, Rasmussen C, Jordano P. (2011). Missing and forbidden links in mutualistic networks. Proceedings of the Royal Society B-Biological Sciences 278: 725-732.</t>
  </si>
  <si>
    <t>García-Castaño, J.L. (2001). Consecuencias demográficas de la dispersión de semillas por aves y mamíferos frugívoros en la vegetación mediterránea de montaña. PhD Thesis. Universidad de Sevilla, Spain.</t>
  </si>
  <si>
    <t>Beehler B. (1983) Frugivory and polygamy in birds of paradise. Auk, 100, 1-11.</t>
  </si>
  <si>
    <t>Frost P.G.H. (1980) Fruit-frugivore interactions in a South African coastal dune forest. In: Acta XVII Congressus Internationalis Ornithologici (ed. Noring R), pp. 1179-1184. Deutsche Ornithologische Ges., Berlin, Germany.</t>
  </si>
  <si>
    <t>Guitián J. (1983) Relaciones entre los frutos y los passeriformes en un bosque montano de la cordillera Cantabrica occidental. PhD Thesis. Universidad de Santiago, Spain.</t>
  </si>
  <si>
    <t>Galetti M. &amp; Pizo M.A. (1996) Fruit eating birds in a forest fragment in southeastern Brazil. Ararajuba, Rev. Brasil. Ornitol., 4, 71-79.</t>
  </si>
  <si>
    <t>Snow, B.K. &amp; Snow, D.W. (1988). Birds and berries. T. and A.D. Poyser, Calton, England.</t>
  </si>
  <si>
    <t>Noma, N. &amp; Yumoto, T. (1997). Fruiting phenology of animal-dispersed plants in response to winter migration of frugivores in a warm temperate forest on Yakushima Island, Japan. Ecological Research, 12, 119-129.</t>
  </si>
  <si>
    <t>Crome, F. H.J. (1975). The ecology of fruit pigeons in tropical Northern Queensland. Aust Wildl Res, 2, 155-185.</t>
  </si>
  <si>
    <t>Snow B.K. &amp; Snow D.W. (1971) The feeding ecology of tanagers and honeycreepers in Trinidad. Auk, 88, 291-322.</t>
  </si>
  <si>
    <t>Baird, J.W. (1980). The selection and use of fruit by birds in an Eastern forest. Wilson Bulletin, 92, 63-73.</t>
  </si>
  <si>
    <t>Interior little disturbed</t>
  </si>
  <si>
    <t>Menke, S., Böhning‐Gaese, K. &amp; Schleuning, M. (2012). Plant-frugivore networks are less specialized and more robust at forest-farmland edges than in the interior of a tropical forest. Oikos, 121, 1553-1566.</t>
  </si>
  <si>
    <t>Edge little disturbed</t>
  </si>
  <si>
    <t>Interior highly disturbed</t>
  </si>
  <si>
    <t>Edge highly disturbed</t>
  </si>
  <si>
    <t>Pizo, M.A. (2004). Frugivory and habitat use by fruit-eating birds in a fragmented landscape of southeast Brazil. Ornitologia Neotropical, 15, 117-126.</t>
  </si>
  <si>
    <t>Schleuning M, Bluthgen N, Florchinger M, Braun J, Schaefer HM, Bohning-Gaese K. 2011. Specialization and interaction strength in a tropical plant-frugivore network differ among forest strata. Ecology 92: 26-36.</t>
  </si>
  <si>
    <t>Castro, E.R.D. (2007). Fenologia reprodutiva do palmito Euterpe edulis (Erecaceae) e sua influência na abundância de aves frugívoras na floresta atlântica. PhD Thesis. Instituto de Biociencias. Universidade Estadual Paulista "Juio de Mesquita Filho" Rio Claro, SP, Brazil.</t>
  </si>
  <si>
    <t>Correia, J.M.S. (1997). Utilização de espécies frutíferas de mata Atlântica na alimentação da avifauna da reserva biológica de Poço das Antas, RJ. MSc Thesis. Instituto de Biologia. UNB, Brazil.</t>
  </si>
  <si>
    <t>Alves, K.J.F. (2008). Composição da avifauna e frugivoria por aves em um mosaico sucessional na mata Atlântica. MSc Thesis. Instituto de Biociencias. Universidade Estadual Paulista‚ Julio de Mesquita Filho‚ Rio Claro, SP, Brazil.</t>
  </si>
  <si>
    <t>Athie, S. (2009). Composição da avifauna e frugivoria por aves em um mosaico de vegetação secundária em Rio Claro, região centro-leste do estado de São Paulo. MSc Thesis. Universidade Federal de São Carlos, Brazil.</t>
  </si>
  <si>
    <t>Ferreira Fadini, R. &amp; De Marco Jr., P. (2004). Interações entre aves frugívoras e plantas em um fragmento de mata atlântica de Minas Gerais. Ararajuba, 12, 97-103.</t>
  </si>
  <si>
    <t>Hasui, Erica. (1994). O papel das aves frugivoras na dispersao de sementes em um fragmento de floresta semidecidua secundaria em Sao Paulo, SP. MSc thesis. USP Sao Paulo, Brazil.</t>
  </si>
  <si>
    <t>Silva, R. F. d. M. (2011). Interações entre plantas e aves frugívoras no campus da Universidade Federal Rural do Rio de Janeiro. In: Instituto de Florestas. Universidade Federal do Rio de Janeiro Rio de Janeiro, Brazil.</t>
  </si>
  <si>
    <t>15-year-old restored plot</t>
  </si>
  <si>
    <t>Ribeiro da Silva, F., Montoya, D., Furtado, R., Memmott, J., Pizo, M.A. and Rodrigues, R.R. (2015), The restoration of tropical seed dispersal networks. Restor Ecol, 23: 852-860.</t>
  </si>
  <si>
    <t>25-year-old restored plot</t>
  </si>
  <si>
    <t>57-year-old restored plot</t>
  </si>
  <si>
    <t>Robinson, V. (2015). Interações entre aves frugívoras e plantas em um fragmento de mata atlântica de Minas Gerais. In: Instituto de Biociencias. Universidade Estadual Paulista "Julio de Mesquita Filho" Rio Claro, SP, Brazil.</t>
  </si>
  <si>
    <t>Rodrigues, S. B. M. (2015). Rede de interações entre aves frugivoras e plantas em una área de mata Atlântica no sudeste do Brasil. Universidade Federal de Sao Carlos, Campus Sorocaba Sorocaba, SP, Brazil.</t>
  </si>
  <si>
    <t>Burns, K.C. (2013). What causes size coupling in fruit-frugivore interaction webs? Ecology, 94, 295-300.</t>
  </si>
  <si>
    <t>site_11</t>
  </si>
  <si>
    <t>Albrecht, J., Bohle, V., Berens, D. G., Jaroszewicz, B., Selva, N., &amp; Farwig, N. (2015). Variation in neighbourhood context shapes frugivore-mediated facilitation and competition among co-dispersed plant species. Journal of Ecology, 103(2), 526–536.</t>
  </si>
  <si>
    <t>site_13</t>
  </si>
  <si>
    <t>site_15</t>
  </si>
  <si>
    <t>site_30</t>
  </si>
  <si>
    <t>site_35</t>
  </si>
  <si>
    <t>site_36</t>
  </si>
  <si>
    <t>site_102</t>
  </si>
  <si>
    <t>site_111</t>
  </si>
  <si>
    <t>site_112</t>
  </si>
  <si>
    <t>site_203</t>
  </si>
  <si>
    <t>site_301</t>
  </si>
  <si>
    <t>site_315</t>
  </si>
  <si>
    <t>Andrade, P., Mota, J. &amp; Carvalho, A. (2011). Mutual interactions between frugivorous birds and plants in an urban fragment of Atlantic Forest, Salvador, BA. Revista Brasileira de Ornitologia, 19, 63-73.</t>
  </si>
  <si>
    <t>Yang, S., Albert, R. &amp; Carlo, T.A. (2013). Transience and constancy of interactions in a plant-frugivore network. Ecosphere, 4(12): 147.</t>
  </si>
  <si>
    <t>Garcia, Q.S., Rezende, J.L.P. &amp; Aguiar, L.M.S. (2000). Seed dispersal by bats in a disturbed area of Southeastern Brazil. Revista de Biología Tropical, 48, 125-128.</t>
  </si>
  <si>
    <t>Gorchov, D.L., Cornejo, F., Ascorra, C.F. &amp; Jaramillo, M. (1995). Dietary overlap between frugivorous birds and bats in the peruvian amazon. Oikos, 74, 235-250.</t>
  </si>
  <si>
    <t>Palmeirim, J.M., Gorchov, D.L. &amp; Stoleson, S. (1989). Trophic structure of a neotropical frugivore community: is there competition between birds and bats? Oecologia (Berl.), 79, 403-411.</t>
  </si>
  <si>
    <t>Lopez, J.E. &amp; Vaughan, C. (2004). Observations on the Role of Frugivorous Bats as Seed Dispersers in Costa Rican Secondary Humid Forests. Acta Chiropterologica, 6, 111-119.</t>
  </si>
  <si>
    <t>Heleno, R.H., Olesen, J.M., Nogales, M., Vargas, P. &amp; Traveset, A. (2013). Seed dispersal networks in the Galapagos and the consequences of alien plant invasions. Proc Biol Sci, 280, 20122112.</t>
  </si>
  <si>
    <t>Tropical montane cloud forest fragment</t>
  </si>
  <si>
    <t>Hernandez-Montero, J.R., Saldana-Vazquez, R.A., Galindo-Gonzalez, J. &amp; Sosa, V.J. (2015). Bat-fruit interactions are more specialized in shaded-coffee plantations than in tropical mountain cloud forest fragments. PLoS ONE, 10, e0126084.</t>
  </si>
  <si>
    <t>Shaded-coffee plantation</t>
  </si>
  <si>
    <t>Passos, F.C., Silva, W.R., Pedro, W.A. &amp; Bonin, M.R. (2003). Frugivoria em morcegos (Mammalia, Chiroptera) no Parque Estadual Intervales, sudeste do Brasil. Revista Brasileira de Zoologia, 20, 511-517.</t>
  </si>
  <si>
    <t>Pedro, W.A. (1992). Estrutura de uma taxocenose de morcegos da reserva do Panga (Uberlandia, MG), com enfase nas relações troficas em Phyllostomidae (Mammalia: Chiroptera). MSC thesis. Universidade Estadual de Campinas Campinas, SP, Brazil.</t>
  </si>
  <si>
    <t>Poulin, B., Wright, S.J., Lefebvre, G. &amp; Calderon, O. (1999). Interspecific synchrony and asynchrony in the fruiting phenologies of congeneric bird-dispersed plants in Panama. Journal of Tropical Ecology, 15, 213-227.</t>
  </si>
  <si>
    <t>Sarmento, R., Alves-Costa, C.i.P., Ayub, A. &amp; Mello, M.A.R. (2014). Partitioning of seed dispersal services between birds and bats in a fragment of the Brazilian Atlantic Forest. Zoologia (Curitiba, Impresso), 31, 245-255.</t>
  </si>
  <si>
    <t>Stiebel, H. &amp; Bairlein, F. (2008). Frugivorie mitteleuropäischer Vögel I: Nahrung und Nahrungserwerb. Vogelwarte, 46, 1-23.</t>
  </si>
  <si>
    <t>Forest edge</t>
  </si>
  <si>
    <t>Saavedra, F., Hensen, I., Beck, S. G., Böhning-Gaese, K., Lippok, D., Töpfer, T., &amp; Schleuning, M. (2014). Functional importance of avian seed dispersers changes in response to human-induced forest edges in tropical seed-dispersal networks. Oecologia, 176, 837-848.</t>
  </si>
  <si>
    <t>Forest interior</t>
  </si>
  <si>
    <t>id</t>
  </si>
  <si>
    <t>type</t>
  </si>
  <si>
    <t>site</t>
  </si>
  <si>
    <r>
      <t xml:space="preserve">Pistacia lentiscus </t>
    </r>
    <r>
      <rPr>
        <sz val="14"/>
        <color rgb="FF000000"/>
        <rFont val="Monaco"/>
        <family val="2"/>
      </rPr>
      <t>(Anacardiaceae)</t>
    </r>
  </si>
  <si>
    <r>
      <t>Pistacia lentiscus</t>
    </r>
    <r>
      <rPr>
        <sz val="14"/>
        <color rgb="FF000000"/>
        <rFont val="Monaco"/>
        <family val="2"/>
      </rPr>
      <t xml:space="preserve"> (Anacardiaceae)</t>
    </r>
  </si>
  <si>
    <r>
      <t xml:space="preserve">Juniperus phoenicea </t>
    </r>
    <r>
      <rPr>
        <sz val="14"/>
        <color rgb="FF000000"/>
        <rFont val="Monaco"/>
        <family val="2"/>
      </rPr>
      <t>(Cupressaceae)</t>
    </r>
  </si>
  <si>
    <r>
      <t xml:space="preserve">Lithraea molleoides </t>
    </r>
    <r>
      <rPr>
        <sz val="14"/>
        <color rgb="FF000000"/>
        <rFont val="Monaco"/>
        <family val="2"/>
      </rPr>
      <t>(Anacardiaceae)</t>
    </r>
  </si>
  <si>
    <r>
      <t xml:space="preserve">Laurus nobilis </t>
    </r>
    <r>
      <rPr>
        <sz val="14"/>
        <color rgb="FF000000"/>
        <rFont val="Monaco"/>
        <family val="2"/>
      </rPr>
      <t>(Lauraceae)</t>
    </r>
  </si>
  <si>
    <r>
      <t xml:space="preserve">Prunus mahaleb </t>
    </r>
    <r>
      <rPr>
        <sz val="14"/>
        <color rgb="FF000000"/>
        <rFont val="Monaco"/>
        <family val="2"/>
      </rPr>
      <t>(Rosaceae)</t>
    </r>
  </si>
  <si>
    <r>
      <t xml:space="preserve">Euterpe edulis </t>
    </r>
    <r>
      <rPr>
        <sz val="14"/>
        <color rgb="FF000000"/>
        <rFont val="Monaco"/>
        <family val="2"/>
      </rPr>
      <t>(Arecaceae)</t>
    </r>
  </si>
  <si>
    <r>
      <t xml:space="preserve">Cecropia glaziovii </t>
    </r>
    <r>
      <rPr>
        <sz val="14"/>
        <color rgb="FF000000"/>
        <rFont val="Monaco"/>
        <family val="2"/>
      </rPr>
      <t>(Urticaceae)</t>
    </r>
  </si>
  <si>
    <r>
      <t xml:space="preserve">Heynea trijuga </t>
    </r>
    <r>
      <rPr>
        <sz val="14"/>
        <color rgb="FF000000"/>
        <rFont val="Monaco"/>
        <family val="2"/>
      </rPr>
      <t>(Meliaceae)</t>
    </r>
  </si>
  <si>
    <r>
      <t xml:space="preserve">Myristica dactyloides </t>
    </r>
    <r>
      <rPr>
        <sz val="14"/>
        <color rgb="FF000000"/>
        <rFont val="Monaco"/>
        <family val="2"/>
      </rPr>
      <t>(Myristicaceae)</t>
    </r>
  </si>
  <si>
    <r>
      <t>Persea macrantha</t>
    </r>
    <r>
      <rPr>
        <sz val="14"/>
        <color rgb="FF000000"/>
        <rFont val="Monaco"/>
        <family val="2"/>
      </rPr>
      <t xml:space="preserve"> (Lauraceae)</t>
    </r>
  </si>
  <si>
    <r>
      <t xml:space="preserve">Henriettea succosa </t>
    </r>
    <r>
      <rPr>
        <sz val="14"/>
        <color rgb="FF000000"/>
        <rFont val="Monaco"/>
        <family val="2"/>
      </rPr>
      <t>(Melastomataceae)</t>
    </r>
  </si>
  <si>
    <r>
      <t xml:space="preserve">Prestoea decurrens </t>
    </r>
    <r>
      <rPr>
        <sz val="14"/>
        <color rgb="FF000000"/>
        <rFont val="Monaco"/>
        <family val="2"/>
      </rPr>
      <t>(Arecaceae)</t>
    </r>
  </si>
  <si>
    <r>
      <t xml:space="preserve">Corema album </t>
    </r>
    <r>
      <rPr>
        <sz val="14"/>
        <color rgb="FF000000"/>
        <rFont val="Monaco"/>
        <family val="2"/>
      </rPr>
      <t>(Ericaceae)</t>
    </r>
  </si>
  <si>
    <r>
      <t xml:space="preserve">Bursera penicillata </t>
    </r>
    <r>
      <rPr>
        <sz val="14"/>
        <color rgb="FF000000"/>
        <rFont val="Monaco"/>
        <family val="2"/>
      </rPr>
      <t>(Burseraceae)</t>
    </r>
  </si>
  <si>
    <r>
      <t xml:space="preserve">Erythroxylum monogynum </t>
    </r>
    <r>
      <rPr>
        <sz val="14"/>
        <color rgb="FF000000"/>
        <rFont val="Monaco"/>
        <family val="2"/>
      </rPr>
      <t>(Erythroxylaceae)</t>
    </r>
  </si>
  <si>
    <r>
      <t xml:space="preserve">Flacourtia indica </t>
    </r>
    <r>
      <rPr>
        <sz val="14"/>
        <color rgb="FF000000"/>
        <rFont val="Monaco"/>
        <family val="2"/>
      </rPr>
      <t>(Salicaceae)</t>
    </r>
  </si>
  <si>
    <r>
      <t xml:space="preserve">Flueggea leucopyrus </t>
    </r>
    <r>
      <rPr>
        <sz val="14"/>
        <color rgb="FF000000"/>
        <rFont val="Monaco"/>
        <family val="2"/>
      </rPr>
      <t>(Phyllanthaceae)</t>
    </r>
  </si>
  <si>
    <r>
      <t xml:space="preserve">Canthium coromandelicum </t>
    </r>
    <r>
      <rPr>
        <sz val="14"/>
        <color rgb="FF000000"/>
        <rFont val="Monaco"/>
        <family val="2"/>
      </rPr>
      <t>(Rubiaceae)</t>
    </r>
  </si>
  <si>
    <r>
      <t xml:space="preserve">Santalum album </t>
    </r>
    <r>
      <rPr>
        <sz val="14"/>
        <color rgb="FF000000"/>
        <rFont val="Monaco"/>
        <family val="2"/>
      </rPr>
      <t>(Santalaceae)</t>
    </r>
  </si>
  <si>
    <r>
      <t xml:space="preserve">Ziziphus oenopolia </t>
    </r>
    <r>
      <rPr>
        <sz val="14"/>
        <color rgb="FF000000"/>
        <rFont val="Monaco"/>
        <family val="2"/>
      </rPr>
      <t>(Rhamnaceae)</t>
    </r>
  </si>
  <si>
    <r>
      <t xml:space="preserve">Chamaerops humilis </t>
    </r>
    <r>
      <rPr>
        <sz val="14"/>
        <color rgb="FF000000"/>
        <rFont val="Monaco"/>
        <family val="2"/>
      </rPr>
      <t>(Arecaceae)</t>
    </r>
  </si>
  <si>
    <r>
      <t xml:space="preserve">Miconia irwinii </t>
    </r>
    <r>
      <rPr>
        <sz val="14"/>
        <color rgb="FF000000"/>
        <rFont val="Monaco"/>
        <family val="2"/>
      </rPr>
      <t>(Melastomataceae)</t>
    </r>
  </si>
  <si>
    <r>
      <t xml:space="preserve">Juniperus macrocarpa </t>
    </r>
    <r>
      <rPr>
        <sz val="14"/>
        <color rgb="FF000000"/>
        <rFont val="Monaco"/>
        <family val="2"/>
      </rPr>
      <t>(Cupressaceae)</t>
    </r>
  </si>
  <si>
    <r>
      <t xml:space="preserve">Prosopis flexuosa </t>
    </r>
    <r>
      <rPr>
        <sz val="14"/>
        <color rgb="FF000000"/>
        <rFont val="Monaco"/>
        <family val="2"/>
      </rPr>
      <t>(Fabaceae)</t>
    </r>
  </si>
  <si>
    <r>
      <t xml:space="preserve">Schinus terebinthifolia </t>
    </r>
    <r>
      <rPr>
        <sz val="14"/>
        <color rgb="FF000000"/>
        <rFont val="Monaco"/>
        <family val="2"/>
      </rPr>
      <t>(Anacardiaceae)</t>
    </r>
  </si>
  <si>
    <r>
      <t xml:space="preserve">Phillyrea angustifolia </t>
    </r>
    <r>
      <rPr>
        <sz val="14"/>
        <color rgb="FF000000"/>
        <rFont val="Monaco"/>
        <family val="2"/>
      </rPr>
      <t>(Oleaceae)</t>
    </r>
  </si>
  <si>
    <r>
      <t xml:space="preserve">Marcgravia longifolia </t>
    </r>
    <r>
      <rPr>
        <sz val="14"/>
        <color rgb="FF000000"/>
        <rFont val="Monaco"/>
        <family val="2"/>
      </rPr>
      <t>(Marcgraviaceae)</t>
    </r>
  </si>
  <si>
    <r>
      <t xml:space="preserve">Osyris lanceolata </t>
    </r>
    <r>
      <rPr>
        <sz val="14"/>
        <color rgb="FF000000"/>
        <rFont val="Monaco"/>
        <family val="2"/>
      </rPr>
      <t>(Santalaceae)</t>
    </r>
  </si>
  <si>
    <t>Gopal, A., Mudappa, D., Raman, T. S., &amp; Naniwadekar, R. (2020). Forest cover and fruit crop size differentially influence frugivory of select rainforest tree species in Western Ghats, India. Biotropica, 52(5), 871-883.</t>
  </si>
  <si>
    <t>Crestani, A. C., Mello, M. A. R., &amp; Cazetta, E. (2019). Interindividual variations in plant and fruit traits affect the structure of a plant-frugivore network. Acta Oecologica, 95, 120-127.</t>
  </si>
  <si>
    <t>Ramaswami, G., Somnath, P., &amp; Quader, S. (2017). Plant-disperser mutualisms in a semi-arid habitat invaded by Lantana camara L. Plant Ecology, 218, 935-946.</t>
  </si>
  <si>
    <t xml:space="preserve">MaB Ñacuñán Reserve Protected 1 </t>
  </si>
  <si>
    <t xml:space="preserve">MaB Ñacuñán Reserve Protected 2 </t>
  </si>
  <si>
    <t>Ziziphus oenopolia (Rhamnaceae)</t>
  </si>
  <si>
    <t>Naringi crenulata (Rutaceae)</t>
  </si>
  <si>
    <t>NA</t>
  </si>
  <si>
    <t>biome</t>
  </si>
  <si>
    <t>nt</t>
  </si>
  <si>
    <t>t</t>
  </si>
  <si>
    <t>reference</t>
  </si>
  <si>
    <t>code</t>
  </si>
  <si>
    <t>sdw01</t>
  </si>
  <si>
    <t>sdw02</t>
  </si>
  <si>
    <t>sdw03</t>
  </si>
  <si>
    <t>indw01</t>
  </si>
  <si>
    <t>indw02</t>
  </si>
  <si>
    <t>indw03</t>
  </si>
  <si>
    <t>indw04</t>
  </si>
  <si>
    <t>indw05</t>
  </si>
  <si>
    <t>indw06</t>
  </si>
  <si>
    <t>indw07</t>
  </si>
  <si>
    <t>indw08</t>
  </si>
  <si>
    <t>indw09</t>
  </si>
  <si>
    <t>indw10</t>
  </si>
  <si>
    <t>indw11</t>
  </si>
  <si>
    <t>indw12</t>
  </si>
  <si>
    <t>indw13</t>
  </si>
  <si>
    <t>indw14</t>
  </si>
  <si>
    <t>indw15</t>
  </si>
  <si>
    <t>indw16</t>
  </si>
  <si>
    <t>indw17</t>
  </si>
  <si>
    <t>indw18</t>
  </si>
  <si>
    <t>indw19</t>
  </si>
  <si>
    <t>indw20</t>
  </si>
  <si>
    <t>indw21</t>
  </si>
  <si>
    <t>indw22</t>
  </si>
  <si>
    <t>indw23</t>
  </si>
  <si>
    <t>indw24</t>
  </si>
  <si>
    <t>indw25</t>
  </si>
  <si>
    <t>indw26</t>
  </si>
  <si>
    <t>indw27</t>
  </si>
  <si>
    <t>indw28</t>
  </si>
  <si>
    <t>indw29</t>
  </si>
  <si>
    <t>indw30</t>
  </si>
  <si>
    <t>indw31</t>
  </si>
  <si>
    <t>indw32</t>
  </si>
  <si>
    <t>indw33</t>
  </si>
  <si>
    <t>indw34</t>
  </si>
  <si>
    <t>indw35</t>
  </si>
  <si>
    <t>indw36</t>
  </si>
  <si>
    <t>indw37</t>
  </si>
  <si>
    <t>indw38</t>
  </si>
  <si>
    <t>indw39</t>
  </si>
  <si>
    <t>indw40</t>
  </si>
  <si>
    <t>indw41</t>
  </si>
  <si>
    <t>indw42</t>
  </si>
  <si>
    <t>indw43</t>
  </si>
  <si>
    <t>indw44</t>
  </si>
  <si>
    <t>indw45</t>
  </si>
  <si>
    <t>indw46</t>
  </si>
  <si>
    <t>sdw08</t>
  </si>
  <si>
    <t>sdw09</t>
  </si>
  <si>
    <t>Spain, RBD-Madroñas.</t>
  </si>
  <si>
    <t>Spain, RBD-El Puntal.</t>
  </si>
  <si>
    <t>sdw10</t>
  </si>
  <si>
    <t xml:space="preserve">RBD-FRUGINT, Spain. </t>
  </si>
  <si>
    <t>sdb19</t>
  </si>
  <si>
    <t>Ficus</t>
  </si>
  <si>
    <t>sdb20</t>
  </si>
  <si>
    <t>Intervales, Brazil</t>
  </si>
  <si>
    <t>Sorensen A.E. (1981) Interactions between birds and fruit in a temperate woodland. Oecologia (Berl.), 50, 242-249.</t>
  </si>
  <si>
    <t>Silva, W. R., P. De Marco Jr, E. Hasui, and V. S. M. Gomes. 2002. Patterns of fruit-frugivore interactions in two atlantic forest bird communities of South-eastern Brazil: implications for conservation, Pages 423-435 in D. J. Levey, W. R. Silva, and  M. Galetti, eds. Seed dispersal and frugivory: ecology, evolution and conservation. Wallingford, UK, CAB International.</t>
  </si>
  <si>
    <t>sdb21</t>
  </si>
  <si>
    <t>Monteverde, Costa Rica</t>
  </si>
  <si>
    <t>Wheelwright N.T., Haber W.A., Murray K.G. &amp; Guindon C. (1984) Tropical fruiteating birds and their food plants: a survey of a Costa Rican lower montane forest. Biotropica, 16, 173-192.</t>
  </si>
  <si>
    <t>sdw11</t>
  </si>
  <si>
    <t>sdw12</t>
  </si>
  <si>
    <t>sdw13</t>
  </si>
  <si>
    <t>Kantak G.E. (1981) Temporal feeding patterns of  some tropical frugivores. Condor, 83, 185-187.</t>
  </si>
  <si>
    <t>sdw14</t>
  </si>
  <si>
    <t>sdb15</t>
  </si>
  <si>
    <t>Tutin C.E.G., Ham R.M., White L.J.T. &amp; Harrison M.J.S. (1997) The primate community of the Lopé Reserve, Gabon: diets, responses to fruit scarcity, and effects on biomass. Am. J. Primatol., 42, 1-24.</t>
  </si>
  <si>
    <t>sdw16</t>
  </si>
  <si>
    <t>sdw17</t>
  </si>
  <si>
    <t>sdw18</t>
  </si>
  <si>
    <t>sdw22</t>
  </si>
  <si>
    <t>sdw23</t>
  </si>
  <si>
    <t>Innis, G.J. (1989). Feeding ecology of fruit pigeons in subtropical rainforests of South-Eastern Queensland. Australian Journal of
 Wildlife Research, 16, 365-394.</t>
  </si>
  <si>
    <t>sdw58</t>
  </si>
  <si>
    <t>sdw40</t>
  </si>
  <si>
    <t>sdw41</t>
  </si>
  <si>
    <t>sdw42</t>
  </si>
  <si>
    <t>sdw43</t>
  </si>
  <si>
    <t>Carlo, T.A., Collazo, J.A. &amp; Groom, M.J. (2003). Avian fruit  preferences across a Puerto Rican forested landscape: pattern  consistency and implications for seed removal. Oecologia, 134,  119-131.</t>
  </si>
  <si>
    <t>sdw44</t>
  </si>
  <si>
    <t>sdw45</t>
  </si>
  <si>
    <t>sdw46</t>
  </si>
  <si>
    <t>sdw47</t>
  </si>
  <si>
    <t>sdw48</t>
  </si>
  <si>
    <t>sdw49</t>
  </si>
  <si>
    <t>sdw50</t>
  </si>
  <si>
    <t>sdw51</t>
  </si>
  <si>
    <t>sdw52</t>
  </si>
  <si>
    <t>sdw53</t>
  </si>
  <si>
    <t>sdw54</t>
  </si>
  <si>
    <t>sdw55</t>
  </si>
  <si>
    <t>Silveira, M. (2006). Dispersão de sementes por morcegos frugívoros em uma área em processo de restauração vegetal na RPPN Parque Florestal São Marcelo Mogi-Guaçu, SP. Universidade Estadual de São Paulo Rio Claro, SP, Brazil, p. 43.</t>
  </si>
  <si>
    <t>sdw57</t>
  </si>
  <si>
    <t>Hayashi, M.M. (1996). Morcegos frugívoros em duas áreas alteradas da fazenda Lageado, Botucatu, Estado de São Paulo. Universidade Estadual Paulista Botucatu, SP, Brazil.</t>
  </si>
  <si>
    <t>sdw59</t>
  </si>
  <si>
    <t>sdw24</t>
  </si>
  <si>
    <t>sdw25</t>
  </si>
  <si>
    <t>sdw28</t>
  </si>
  <si>
    <t>Frith, H.J., Crome, F.H.J. &amp; Wolfe, T.O. (1976) Food of fruit pigeons in New Guinea. Emu, 76: 49-58.</t>
  </si>
  <si>
    <t>Donatti, C.I., P.R. Guimarães Jr., M. Galetti, M. A. Pizo, F. M. D. Marquitti, and R. Dirzo. (2011) Analysis of a hyper-diverse seed dispersal network: modularity and underlying mechanisms. Ecology Letters 14:773-781.</t>
  </si>
  <si>
    <t>sdb27</t>
  </si>
  <si>
    <t>Fuzessy, L., Sobral, G., Carreira, D., Rother, D.C., Barbosa, G., Landis, M., et al. (2022). Functional roles of frugivores and plants shape hyper‐diverse mutualistic interactions under two antagonistic conservation scenarios. Biotropica, 54, 444–454.</t>
  </si>
  <si>
    <t>sdw29</t>
  </si>
  <si>
    <t>sdw30</t>
  </si>
  <si>
    <t>sdw31</t>
  </si>
  <si>
    <t>sdw32</t>
  </si>
  <si>
    <t>sdw33</t>
  </si>
  <si>
    <t>sdw34</t>
  </si>
  <si>
    <t>sdw35</t>
  </si>
  <si>
    <t>sdw37</t>
  </si>
  <si>
    <t>sdw38</t>
  </si>
  <si>
    <t>sdw39</t>
  </si>
  <si>
    <t>sdb26</t>
  </si>
  <si>
    <t>sdw00</t>
  </si>
  <si>
    <t>Jordano, P. 2007. A compilation of plant-frugivore interactions for Spanish habitats. https://github.com/PJordano-Lab/datasets_networks_spain
THIS MATRIX IS UNDER WORK!!!- ALL SITES AND SPECIES POOLED INCLUDING LITERATURE REFERENCES
# NOT YET COMPLETE!!</t>
  </si>
  <si>
    <t>sdw36-1</t>
  </si>
  <si>
    <t>sdw36-2</t>
  </si>
  <si>
    <t>sdw36-3</t>
  </si>
  <si>
    <t>sdw02a</t>
  </si>
  <si>
    <t>sdw02b</t>
  </si>
  <si>
    <t>sdw02c</t>
  </si>
  <si>
    <t>sdw02d</t>
  </si>
  <si>
    <t>Spain, RBD-Sabinares.</t>
  </si>
  <si>
    <t>Spain, Hato Ratón</t>
  </si>
  <si>
    <t>sdw60</t>
  </si>
  <si>
    <r>
      <t xml:space="preserve">Costa, J.M., Ramos, J.A., da Silva, L.P.L.P.L.P., Timoteo, S., Araújo, P.M., Felgueiras, M.S., </t>
    </r>
    <r>
      <rPr>
        <i/>
        <sz val="10"/>
        <rFont val="Monaco"/>
        <family val="2"/>
      </rPr>
      <t>et al.</t>
    </r>
    <r>
      <rPr>
        <sz val="10"/>
        <rFont val="Monaco"/>
        <family val="2"/>
      </rPr>
      <t xml:space="preserve"> (2014). Endozoochory largely outweighs epizoochory in migrating passerines. </t>
    </r>
    <r>
      <rPr>
        <i/>
        <sz val="10"/>
        <rFont val="Monaco"/>
        <family val="2"/>
      </rPr>
      <t>Journal of Avian Biology</t>
    </r>
    <r>
      <rPr>
        <sz val="10"/>
        <rFont val="Monaco"/>
        <family val="2"/>
      </rPr>
      <t>, 45, 59–64.</t>
    </r>
  </si>
  <si>
    <t>Spain, Cazorla-Nava Noguera.</t>
  </si>
  <si>
    <t>Spain, Cazorla-Nava Correhuelas.</t>
  </si>
  <si>
    <r>
      <t xml:space="preserve">Quintero, E., Isla, J. &amp; Jordano, P. (2022). Methodological overview and data‐merging approaches in the study of plant–frugivore interactions. </t>
    </r>
    <r>
      <rPr>
        <i/>
        <sz val="10"/>
        <rFont val="Monaco"/>
        <family val="2"/>
      </rPr>
      <t>Oikos</t>
    </r>
    <r>
      <rPr>
        <sz val="10"/>
        <rFont val="Monaco"/>
        <family val="2"/>
      </rPr>
      <t>, e08379.</t>
    </r>
  </si>
  <si>
    <t>sdw04</t>
  </si>
  <si>
    <t>sdw05</t>
  </si>
  <si>
    <t>sdw06</t>
  </si>
  <si>
    <t>sdw07</t>
  </si>
  <si>
    <t>Spain, Campos de Otero, Sierra Nevada, Granada, Spain.</t>
  </si>
  <si>
    <t>Spain, Sabinar del Marqués, Reserva
Biológica de Doñana, Huelva.</t>
  </si>
  <si>
    <t>Spain, Santa Bárbara, Baza, Granada, Spain.</t>
  </si>
  <si>
    <t>Spain, Cañada del Travino, Sierra de Cazorla, Segura y Las Villas,
                                Jaén, Spain.</t>
  </si>
  <si>
    <t>Jordano, P. (1993). Geographical ecology and variation of plant-seed disperser interactions: southern Spanish junipers and frugivorous thrushes. In: Frugivory and seed dispersal: ecological and evolutionary aspects (eds. Fleming, T.H. &amp; Estrada, A.). Kluwer Academic Publisher, Dordrecht, The Netherlands, pp. 85–104.</t>
  </si>
  <si>
    <t>sdw61</t>
  </si>
  <si>
    <t>Giannini NP, Kalko EKV (2004) Trophic structure in a large assemblage of phyllostomid bats in Panama. Oikos 105: 209-220.</t>
  </si>
  <si>
    <r>
      <t xml:space="preserve">Bello, C., Galetti, M., Montan, D., Pizo, M.A., Mariguela, T.C., Culot, L., </t>
    </r>
    <r>
      <rPr>
        <i/>
        <sz val="10"/>
        <rFont val="Monaco"/>
        <family val="2"/>
      </rPr>
      <t>et al.</t>
    </r>
    <r>
      <rPr>
        <sz val="10"/>
        <rFont val="Monaco"/>
        <family val="2"/>
      </rPr>
      <t xml:space="preserve"> (2017). ATLANTIC frugivory: a plant–frugivore interaction data set for the Atlantic Forest. </t>
    </r>
    <r>
      <rPr>
        <i/>
        <sz val="10"/>
        <rFont val="Monaco"/>
        <family val="2"/>
      </rPr>
      <t>Ecology</t>
    </r>
    <r>
      <rPr>
        <sz val="10"/>
        <rFont val="Monaco"/>
        <family val="2"/>
      </rPr>
      <t>, 98, 1729–1729.</t>
    </r>
  </si>
  <si>
    <t>sdb62</t>
  </si>
  <si>
    <t>sdb63</t>
  </si>
  <si>
    <t>sdb64</t>
  </si>
  <si>
    <t>sdb65</t>
  </si>
  <si>
    <t>PE Intervales, SP, Brazil.</t>
  </si>
  <si>
    <t>PE Ilha do Cardoso, SP, Brazil.</t>
  </si>
  <si>
    <t>PE Carlos Botelho, SP, Brazil</t>
  </si>
  <si>
    <t>sdb66</t>
  </si>
  <si>
    <t>Kindel, A. (1996). Interações entre plantas ornitocóricas e aves frugívoras na Estação Ecológica de Aracuri, Muitos Capões, RS. UFRGS, Porto Alegre, Brazil.</t>
  </si>
  <si>
    <r>
      <t xml:space="preserve">Stevenson, P.R., Link, A., González-Caro, S. &amp; Torres-Jiménez, M.F. (2015). Frugivory in canopy plants in a western Amazonian forest: dispersal systems, phylogenetic ensembles and keystone plants. </t>
    </r>
    <r>
      <rPr>
        <i/>
        <sz val="10"/>
        <rFont val="Monaco"/>
        <family val="2"/>
      </rPr>
      <t>PLoS ONE</t>
    </r>
    <r>
      <rPr>
        <sz val="10"/>
        <rFont val="Monaco"/>
        <family val="2"/>
      </rPr>
      <t>, 10, e0140751--22.</t>
    </r>
  </si>
  <si>
    <t>sdw67</t>
  </si>
  <si>
    <t>sdw68</t>
  </si>
  <si>
    <r>
      <t xml:space="preserve">Walther, B.A., Geier, J., Chou, L.-S. &amp; Bain, A. (2018). The figs of winter: Seasonal importance of fruiting fig trees ( Ficus : Moraceae) for urban birds. </t>
    </r>
    <r>
      <rPr>
        <i/>
        <sz val="10"/>
        <rFont val="Monaco"/>
        <family val="2"/>
      </rPr>
      <t>Acta Oecologica</t>
    </r>
    <r>
      <rPr>
        <sz val="10"/>
        <rFont val="Monaco"/>
        <family val="2"/>
      </rPr>
      <t>, 90, 28–34.</t>
    </r>
  </si>
  <si>
    <t>sdb69</t>
  </si>
  <si>
    <r>
      <t xml:space="preserve">Palacio, R.D., Valderrama‐Ardila, C. &amp; Kattan, G.H. (2016). Generalist species have a central role in a highly diverse plant–frugivore network. </t>
    </r>
    <r>
      <rPr>
        <i/>
        <sz val="10"/>
        <rFont val="Monaco"/>
        <family val="2"/>
      </rPr>
      <t>Biotropica</t>
    </r>
    <r>
      <rPr>
        <sz val="10"/>
        <rFont val="Monaco"/>
        <family val="2"/>
      </rPr>
      <t>, 48, 349–355.</t>
    </r>
  </si>
  <si>
    <t>sdb70</t>
  </si>
  <si>
    <r>
      <t xml:space="preserve">Machado-de-Souza, T., Campos, R.P., Devoto, M. &amp; Varassin, I.G. (2019). Local drivers of the structure of a tropical bird-seed dispersal network. </t>
    </r>
    <r>
      <rPr>
        <i/>
        <sz val="10"/>
        <rFont val="Monaco"/>
        <family val="2"/>
      </rPr>
      <t>Oecologia</t>
    </r>
    <r>
      <rPr>
        <sz val="10"/>
        <rFont val="Monaco"/>
        <family val="2"/>
      </rPr>
      <t>, 189, 421–433.</t>
    </r>
  </si>
  <si>
    <r>
      <t xml:space="preserve">Naniwadekar, R., Chaplod, S., Datta, A., Rathore, A. &amp; Sridhar, H. (2019). Large frugivores matter: Insights from network and seed dispersal effectiveness approaches. </t>
    </r>
    <r>
      <rPr>
        <i/>
        <sz val="10"/>
        <rFont val="Monaco"/>
        <family val="2"/>
      </rPr>
      <t>Journal of Animal Ecology</t>
    </r>
    <r>
      <rPr>
        <sz val="10"/>
        <rFont val="Monaco"/>
        <family val="2"/>
      </rPr>
      <t>, 88, 1250–1262.</t>
    </r>
  </si>
  <si>
    <t>sdb71</t>
  </si>
  <si>
    <t>sdb72-1</t>
  </si>
  <si>
    <t>sdb72-2</t>
  </si>
  <si>
    <t>sdb72-3</t>
  </si>
  <si>
    <t>sdb72-4</t>
  </si>
  <si>
    <t>sdb72-5</t>
  </si>
  <si>
    <t>sdb72-6</t>
  </si>
  <si>
    <t>sdb72-7</t>
  </si>
  <si>
    <t>sdb72-8</t>
  </si>
  <si>
    <t>sdb72-9</t>
  </si>
  <si>
    <r>
      <t xml:space="preserve">Mendes, S.B., Olesen, J.M., Memmott, J., Costa, J.M., Timóteo, S., Dengucho, A.L., </t>
    </r>
    <r>
      <rPr>
        <i/>
        <sz val="10"/>
        <rFont val="Monaco"/>
        <family val="2"/>
      </rPr>
      <t>et al.</t>
    </r>
    <r>
      <rPr>
        <sz val="10"/>
        <rFont val="Monaco"/>
        <family val="2"/>
      </rPr>
      <t xml:space="preserve"> (2024). Evidence of a European seed dispersal crisis. </t>
    </r>
    <r>
      <rPr>
        <i/>
        <sz val="10"/>
        <rFont val="Monaco"/>
        <family val="2"/>
      </rPr>
      <t>Science</t>
    </r>
    <r>
      <rPr>
        <sz val="10"/>
        <rFont val="Monaco"/>
        <family val="2"/>
      </rPr>
      <t>, 386, 206–211.</t>
    </r>
  </si>
  <si>
    <t>Arctic biome.</t>
  </si>
  <si>
    <t>Alpine biome.</t>
  </si>
  <si>
    <t>Atlantic biome.</t>
  </si>
  <si>
    <t>Blacksea biome.</t>
  </si>
  <si>
    <t>Boreal biome.</t>
  </si>
  <si>
    <t>Continental biome.</t>
  </si>
  <si>
    <t>Mediterranean biome.</t>
  </si>
  <si>
    <t>Pannonian biome.</t>
  </si>
  <si>
    <t>Steppic biome.</t>
  </si>
  <si>
    <r>
      <t xml:space="preserve">Ramos-Robles, M., Andresen, E. &amp; Díaz-Castelazo, C. (2016). Temporal changes in the structure of a plant-frugivore network are influenced by bird migration and fruit availability. </t>
    </r>
    <r>
      <rPr>
        <i/>
        <sz val="10"/>
        <rFont val="Monaco"/>
        <family val="2"/>
      </rPr>
      <t>PeerJ</t>
    </r>
    <r>
      <rPr>
        <sz val="10"/>
        <rFont val="Monaco"/>
        <family val="2"/>
      </rPr>
      <t>, 4, e2048–e2048.</t>
    </r>
  </si>
  <si>
    <t>sdw73</t>
  </si>
  <si>
    <t>Aggregated temporal network.</t>
  </si>
  <si>
    <r>
      <t xml:space="preserve">Villalva, P., Arroyo‐Correa, B., Calvo, G., Homet, P., Isla, J., Mendoza, I., </t>
    </r>
    <r>
      <rPr>
        <i/>
        <sz val="10"/>
        <rFont val="Monaco"/>
        <family val="2"/>
      </rPr>
      <t>et al.</t>
    </r>
    <r>
      <rPr>
        <sz val="10"/>
        <rFont val="Monaco"/>
        <family val="2"/>
      </rPr>
      <t xml:space="preserve"> (2024). FRUGIVORY CAMTRAP : A dataset of plant–animal interactions recorded with camera traps. </t>
    </r>
    <r>
      <rPr>
        <i/>
        <sz val="10"/>
        <rFont val="Monaco"/>
        <family val="2"/>
      </rPr>
      <t>Ecology</t>
    </r>
    <r>
      <rPr>
        <sz val="10"/>
        <rFont val="Monaco"/>
        <family val="2"/>
      </rPr>
      <t>, 105, e4424.</t>
    </r>
  </si>
  <si>
    <t>sdw74</t>
  </si>
  <si>
    <t>sdw75</t>
  </si>
  <si>
    <t>sdw76</t>
  </si>
  <si>
    <t>sdw77</t>
  </si>
  <si>
    <t>sdw78</t>
  </si>
  <si>
    <t>sdw79</t>
  </si>
  <si>
    <t>sdw80</t>
  </si>
  <si>
    <t>sdw81</t>
  </si>
  <si>
    <t>sdw82</t>
  </si>
  <si>
    <t>Colombia 1</t>
  </si>
  <si>
    <t>Colombia 2</t>
  </si>
  <si>
    <t>Ecuador 1</t>
  </si>
  <si>
    <t>Ecuador 2</t>
  </si>
  <si>
    <t>Peru 1</t>
  </si>
  <si>
    <t>Peru 2</t>
  </si>
  <si>
    <t>Argentina</t>
  </si>
  <si>
    <r>
      <t xml:space="preserve">Schleuning, M., Bluthgen, N., Florchinger, M., Braun, J., Schaefer, H.M. &amp; Bohning-Gaese, K. (2011). Specialization and interaction strength in a tropical plant-frugivore network differ among forest strata. </t>
    </r>
    <r>
      <rPr>
        <i/>
        <sz val="10"/>
        <rFont val="Monaco"/>
        <family val="2"/>
      </rPr>
      <t>Ecology</t>
    </r>
    <r>
      <rPr>
        <sz val="10"/>
        <rFont val="Monaco"/>
        <family val="2"/>
      </rPr>
      <t>, 92, 26–36.</t>
    </r>
  </si>
  <si>
    <t>sdw83</t>
  </si>
  <si>
    <t>sdw84</t>
  </si>
  <si>
    <t>sdw85</t>
  </si>
  <si>
    <t>sdw86</t>
  </si>
  <si>
    <t>sdw87</t>
  </si>
  <si>
    <t>sdw88</t>
  </si>
  <si>
    <r>
      <t xml:space="preserve">Plein, M., Längsfeld, L., Neuschulz, E.L., Schultheiß, C., Ingmann, L., Töpfer, T., </t>
    </r>
    <r>
      <rPr>
        <i/>
        <sz val="10"/>
        <rFont val="Monaco"/>
        <family val="2"/>
      </rPr>
      <t>et al.</t>
    </r>
    <r>
      <rPr>
        <sz val="10"/>
        <rFont val="Monaco"/>
        <family val="2"/>
      </rPr>
      <t xml:space="preserve"> (2013). Constant properties of plant–frugivore networks despite fluctuations in fruit and bird communities in space and time. </t>
    </r>
    <r>
      <rPr>
        <i/>
        <sz val="10"/>
        <rFont val="Monaco"/>
        <family val="2"/>
      </rPr>
      <t>Ecology</t>
    </r>
    <r>
      <rPr>
        <sz val="10"/>
        <rFont val="Monaco"/>
        <family val="2"/>
      </rPr>
      <t>, 94, 1296–1306.</t>
    </r>
  </si>
  <si>
    <t>Germany; farmlnad summer</t>
  </si>
  <si>
    <t>Germany; farmlnad autumn</t>
  </si>
  <si>
    <t>Germany; forest summer</t>
  </si>
  <si>
    <t>Germany; orchard summer</t>
  </si>
  <si>
    <t>Germany; orchard autumn</t>
  </si>
  <si>
    <t>Germany; forest autumn</t>
  </si>
  <si>
    <t>sdw89</t>
  </si>
  <si>
    <t>Bolivia_edge</t>
  </si>
  <si>
    <t>Bolivia_forest</t>
  </si>
  <si>
    <t>sdw90</t>
  </si>
  <si>
    <t>Ecuador 3</t>
  </si>
  <si>
    <r>
      <t xml:space="preserve">Dehling, D.M., Bender, I.M.A., Blendinger, P.G., Böhning‐Gaese, K., Muñoz, M.C., Neuschulz, E.L., </t>
    </r>
    <r>
      <rPr>
        <i/>
        <sz val="10"/>
        <rFont val="Monaco"/>
        <family val="2"/>
      </rPr>
      <t>et al.</t>
    </r>
    <r>
      <rPr>
        <sz val="10"/>
        <rFont val="Monaco"/>
        <family val="2"/>
      </rPr>
      <t xml:space="preserve"> (2021). Specialists and generalists fulfil important and complementary functional roles in ecological processes. </t>
    </r>
    <r>
      <rPr>
        <i/>
        <sz val="10"/>
        <rFont val="Monaco"/>
        <family val="2"/>
      </rPr>
      <t>Functional Ecology</t>
    </r>
    <r>
      <rPr>
        <sz val="10"/>
        <rFont val="Monaco"/>
        <family val="2"/>
      </rPr>
      <t>, 35, 1810–1821.</t>
    </r>
  </si>
  <si>
    <t>sdw91</t>
  </si>
  <si>
    <t>Schlautmann, J., Rehling, F., Albrecht, J., Jaroszewicz, B., Schabo, D. G., &amp; Farwig, N. (2021). Observing frugivores or collecting scats: A method comparison to construct quantitative seed dispersal networks. Oikos, 130(8), 1359–1369. https://doi.org/10.1111/oik.08175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</si>
</sst>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0"/>
      <name val="Monaco"/>
    </font>
    <font>
      <sz val="10"/>
      <name val="Monaco"/>
      <family val="2"/>
    </font>
    <font>
      <b/>
      <sz val="10"/>
      <color indexed="0"/>
      <name val="Monaco"/>
      <family val="2"/>
    </font>
    <font>
      <sz val="10"/>
      <color indexed="0"/>
      <name val="Monaco"/>
      <family val="2"/>
    </font>
    <font>
      <sz val="10"/>
      <name val="Monaco"/>
      <family val="2"/>
    </font>
    <font>
      <sz val="9"/>
      <name val="Monaco"/>
      <family val="2"/>
    </font>
    <font>
      <i/>
      <sz val="9"/>
      <name val="Monaco"/>
      <family val="2"/>
    </font>
    <font>
      <sz val="14"/>
      <name val="Monaco"/>
      <family val="2"/>
    </font>
    <font>
      <sz val="14"/>
      <color rgb="FF000000"/>
      <name val="Monaco"/>
      <family val="2"/>
    </font>
    <font>
      <i/>
      <sz val="14"/>
      <color rgb="FF000000"/>
      <name val="Monaco"/>
      <family val="2"/>
    </font>
    <font>
      <sz val="9"/>
      <name val="Monaco"/>
      <family val="2"/>
    </font>
    <font>
      <sz val="8"/>
      <name val="Monaco"/>
      <family val="2"/>
    </font>
    <font>
      <i/>
      <sz val="10"/>
      <name val="Monaco"/>
      <family val="2"/>
    </font>
    <font>
      <sz val="12"/>
      <color rgb="FF000000"/>
      <name val="Monaco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0" fillId="2" borderId="0" xfId="0" applyFill="1"/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/>
    <xf numFmtId="0" fontId="8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164" fontId="8" fillId="5" borderId="0" xfId="0" applyNumberFormat="1" applyFont="1" applyFill="1" applyAlignment="1">
      <alignment horizontal="center" vertical="center" wrapText="1"/>
    </xf>
    <xf numFmtId="0" fontId="12" fillId="2" borderId="0" xfId="0" applyFont="1" applyFill="1"/>
    <xf numFmtId="0" fontId="13" fillId="5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164" fontId="8" fillId="2" borderId="0" xfId="0" applyNumberFormat="1" applyFont="1" applyFill="1" applyAlignment="1">
      <alignment horizontal="center" vertical="center" wrapText="1"/>
    </xf>
    <xf numFmtId="164" fontId="8" fillId="4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data!$H$1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data!$G$2:$G$188</c:f>
              <c:numCache>
                <c:formatCode>General</c:formatCode>
                <c:ptCount val="187"/>
                <c:pt idx="0">
                  <c:v>67</c:v>
                </c:pt>
                <c:pt idx="1">
                  <c:v>56</c:v>
                </c:pt>
                <c:pt idx="2">
                  <c:v>45</c:v>
                </c:pt>
                <c:pt idx="3">
                  <c:v>45</c:v>
                </c:pt>
                <c:pt idx="4">
                  <c:v>46</c:v>
                </c:pt>
                <c:pt idx="5">
                  <c:v>23</c:v>
                </c:pt>
                <c:pt idx="6">
                  <c:v>24</c:v>
                </c:pt>
                <c:pt idx="7">
                  <c:v>27</c:v>
                </c:pt>
                <c:pt idx="8">
                  <c:v>25</c:v>
                </c:pt>
                <c:pt idx="9">
                  <c:v>23</c:v>
                </c:pt>
                <c:pt idx="10">
                  <c:v>18</c:v>
                </c:pt>
                <c:pt idx="11">
                  <c:v>35</c:v>
                </c:pt>
                <c:pt idx="12">
                  <c:v>39</c:v>
                </c:pt>
                <c:pt idx="13">
                  <c:v>26</c:v>
                </c:pt>
                <c:pt idx="14">
                  <c:v>22</c:v>
                </c:pt>
                <c:pt idx="15">
                  <c:v>38</c:v>
                </c:pt>
                <c:pt idx="16">
                  <c:v>64</c:v>
                </c:pt>
                <c:pt idx="17">
                  <c:v>35</c:v>
                </c:pt>
                <c:pt idx="18">
                  <c:v>32</c:v>
                </c:pt>
                <c:pt idx="19">
                  <c:v>53</c:v>
                </c:pt>
                <c:pt idx="20">
                  <c:v>40</c:v>
                </c:pt>
                <c:pt idx="21">
                  <c:v>40</c:v>
                </c:pt>
                <c:pt idx="22">
                  <c:v>39</c:v>
                </c:pt>
                <c:pt idx="23">
                  <c:v>26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24</c:v>
                </c:pt>
                <c:pt idx="29">
                  <c:v>28</c:v>
                </c:pt>
                <c:pt idx="30">
                  <c:v>45</c:v>
                </c:pt>
                <c:pt idx="31">
                  <c:v>30</c:v>
                </c:pt>
                <c:pt idx="32">
                  <c:v>24</c:v>
                </c:pt>
                <c:pt idx="33">
                  <c:v>37</c:v>
                </c:pt>
                <c:pt idx="34">
                  <c:v>35</c:v>
                </c:pt>
                <c:pt idx="35">
                  <c:v>38</c:v>
                </c:pt>
                <c:pt idx="36">
                  <c:v>64</c:v>
                </c:pt>
                <c:pt idx="37">
                  <c:v>43</c:v>
                </c:pt>
                <c:pt idx="38">
                  <c:v>38</c:v>
                </c:pt>
                <c:pt idx="39">
                  <c:v>42</c:v>
                </c:pt>
                <c:pt idx="40">
                  <c:v>26</c:v>
                </c:pt>
                <c:pt idx="41">
                  <c:v>21</c:v>
                </c:pt>
                <c:pt idx="42">
                  <c:v>67</c:v>
                </c:pt>
                <c:pt idx="43">
                  <c:v>33</c:v>
                </c:pt>
                <c:pt idx="44">
                  <c:v>34</c:v>
                </c:pt>
                <c:pt idx="45">
                  <c:v>33</c:v>
                </c:pt>
                <c:pt idx="46">
                  <c:v>145</c:v>
                </c:pt>
                <c:pt idx="47">
                  <c:v>61</c:v>
                </c:pt>
                <c:pt idx="48">
                  <c:v>107</c:v>
                </c:pt>
                <c:pt idx="49">
                  <c:v>60</c:v>
                </c:pt>
                <c:pt idx="50">
                  <c:v>36</c:v>
                </c:pt>
                <c:pt idx="51">
                  <c:v>15</c:v>
                </c:pt>
                <c:pt idx="52">
                  <c:v>24</c:v>
                </c:pt>
                <c:pt idx="53">
                  <c:v>46</c:v>
                </c:pt>
                <c:pt idx="54">
                  <c:v>9</c:v>
                </c:pt>
                <c:pt idx="55">
                  <c:v>11</c:v>
                </c:pt>
                <c:pt idx="56">
                  <c:v>11</c:v>
                </c:pt>
                <c:pt idx="57">
                  <c:v>15</c:v>
                </c:pt>
                <c:pt idx="58">
                  <c:v>86</c:v>
                </c:pt>
                <c:pt idx="59">
                  <c:v>317</c:v>
                </c:pt>
                <c:pt idx="60">
                  <c:v>211</c:v>
                </c:pt>
                <c:pt idx="61">
                  <c:v>40</c:v>
                </c:pt>
                <c:pt idx="62">
                  <c:v>13</c:v>
                </c:pt>
                <c:pt idx="63">
                  <c:v>26</c:v>
                </c:pt>
                <c:pt idx="64">
                  <c:v>19</c:v>
                </c:pt>
                <c:pt idx="65">
                  <c:v>64</c:v>
                </c:pt>
                <c:pt idx="66">
                  <c:v>32</c:v>
                </c:pt>
                <c:pt idx="67">
                  <c:v>25</c:v>
                </c:pt>
                <c:pt idx="68">
                  <c:v>26</c:v>
                </c:pt>
                <c:pt idx="69">
                  <c:v>35</c:v>
                </c:pt>
                <c:pt idx="70">
                  <c:v>79</c:v>
                </c:pt>
                <c:pt idx="71">
                  <c:v>64</c:v>
                </c:pt>
                <c:pt idx="72">
                  <c:v>28</c:v>
                </c:pt>
                <c:pt idx="73">
                  <c:v>46</c:v>
                </c:pt>
                <c:pt idx="74">
                  <c:v>64</c:v>
                </c:pt>
                <c:pt idx="75">
                  <c:v>35</c:v>
                </c:pt>
                <c:pt idx="76">
                  <c:v>91</c:v>
                </c:pt>
                <c:pt idx="77">
                  <c:v>446</c:v>
                </c:pt>
                <c:pt idx="78">
                  <c:v>121</c:v>
                </c:pt>
                <c:pt idx="79">
                  <c:v>65</c:v>
                </c:pt>
                <c:pt idx="80">
                  <c:v>58</c:v>
                </c:pt>
                <c:pt idx="81">
                  <c:v>43</c:v>
                </c:pt>
                <c:pt idx="82">
                  <c:v>39</c:v>
                </c:pt>
                <c:pt idx="83">
                  <c:v>53</c:v>
                </c:pt>
                <c:pt idx="84">
                  <c:v>48</c:v>
                </c:pt>
                <c:pt idx="85">
                  <c:v>42</c:v>
                </c:pt>
                <c:pt idx="86">
                  <c:v>27</c:v>
                </c:pt>
                <c:pt idx="87">
                  <c:v>52</c:v>
                </c:pt>
                <c:pt idx="88">
                  <c:v>28</c:v>
                </c:pt>
                <c:pt idx="89">
                  <c:v>34</c:v>
                </c:pt>
                <c:pt idx="90">
                  <c:v>88</c:v>
                </c:pt>
                <c:pt idx="91">
                  <c:v>27</c:v>
                </c:pt>
                <c:pt idx="92">
                  <c:v>20</c:v>
                </c:pt>
                <c:pt idx="93">
                  <c:v>18</c:v>
                </c:pt>
                <c:pt idx="94">
                  <c:v>22</c:v>
                </c:pt>
                <c:pt idx="95">
                  <c:v>21</c:v>
                </c:pt>
                <c:pt idx="96">
                  <c:v>18</c:v>
                </c:pt>
                <c:pt idx="97">
                  <c:v>18</c:v>
                </c:pt>
                <c:pt idx="98">
                  <c:v>19</c:v>
                </c:pt>
                <c:pt idx="99">
                  <c:v>23</c:v>
                </c:pt>
                <c:pt idx="100">
                  <c:v>23</c:v>
                </c:pt>
                <c:pt idx="101">
                  <c:v>25</c:v>
                </c:pt>
                <c:pt idx="102">
                  <c:v>26</c:v>
                </c:pt>
                <c:pt idx="103">
                  <c:v>27</c:v>
                </c:pt>
                <c:pt idx="104">
                  <c:v>39</c:v>
                </c:pt>
                <c:pt idx="105">
                  <c:v>13</c:v>
                </c:pt>
                <c:pt idx="106">
                  <c:v>54</c:v>
                </c:pt>
                <c:pt idx="107">
                  <c:v>20</c:v>
                </c:pt>
                <c:pt idx="108">
                  <c:v>99</c:v>
                </c:pt>
                <c:pt idx="109">
                  <c:v>49</c:v>
                </c:pt>
                <c:pt idx="110">
                  <c:v>49</c:v>
                </c:pt>
                <c:pt idx="111">
                  <c:v>58</c:v>
                </c:pt>
                <c:pt idx="112">
                  <c:v>29</c:v>
                </c:pt>
                <c:pt idx="113">
                  <c:v>25</c:v>
                </c:pt>
                <c:pt idx="114">
                  <c:v>31</c:v>
                </c:pt>
                <c:pt idx="115">
                  <c:v>20</c:v>
                </c:pt>
                <c:pt idx="116">
                  <c:v>37</c:v>
                </c:pt>
                <c:pt idx="117">
                  <c:v>76</c:v>
                </c:pt>
                <c:pt idx="118">
                  <c:v>61</c:v>
                </c:pt>
                <c:pt idx="119">
                  <c:v>13</c:v>
                </c:pt>
                <c:pt idx="120">
                  <c:v>77</c:v>
                </c:pt>
                <c:pt idx="121">
                  <c:v>43</c:v>
                </c:pt>
                <c:pt idx="122">
                  <c:v>38</c:v>
                </c:pt>
                <c:pt idx="123">
                  <c:v>45</c:v>
                </c:pt>
                <c:pt idx="124">
                  <c:v>42</c:v>
                </c:pt>
                <c:pt idx="125">
                  <c:v>47</c:v>
                </c:pt>
                <c:pt idx="126">
                  <c:v>20</c:v>
                </c:pt>
                <c:pt idx="127">
                  <c:v>43</c:v>
                </c:pt>
                <c:pt idx="128">
                  <c:v>56</c:v>
                </c:pt>
                <c:pt idx="129">
                  <c:v>1130</c:v>
                </c:pt>
                <c:pt idx="130">
                  <c:v>112</c:v>
                </c:pt>
                <c:pt idx="131">
                  <c:v>89</c:v>
                </c:pt>
                <c:pt idx="132">
                  <c:v>310</c:v>
                </c:pt>
                <c:pt idx="133">
                  <c:v>36</c:v>
                </c:pt>
                <c:pt idx="134">
                  <c:v>201</c:v>
                </c:pt>
                <c:pt idx="135">
                  <c:v>56</c:v>
                </c:pt>
                <c:pt idx="136">
                  <c:v>135</c:v>
                </c:pt>
                <c:pt idx="137">
                  <c:v>158</c:v>
                </c:pt>
                <c:pt idx="138">
                  <c:v>90</c:v>
                </c:pt>
                <c:pt idx="139">
                  <c:v>238</c:v>
                </c:pt>
                <c:pt idx="140">
                  <c:v>21</c:v>
                </c:pt>
                <c:pt idx="141">
                  <c:v>377</c:v>
                </c:pt>
                <c:pt idx="142">
                  <c:v>27</c:v>
                </c:pt>
                <c:pt idx="143">
                  <c:v>286</c:v>
                </c:pt>
                <c:pt idx="144">
                  <c:v>386</c:v>
                </c:pt>
                <c:pt idx="145">
                  <c:v>587</c:v>
                </c:pt>
                <c:pt idx="146">
                  <c:v>127</c:v>
                </c:pt>
                <c:pt idx="147">
                  <c:v>155</c:v>
                </c:pt>
                <c:pt idx="148">
                  <c:v>86</c:v>
                </c:pt>
                <c:pt idx="149">
                  <c:v>121</c:v>
                </c:pt>
                <c:pt idx="150">
                  <c:v>67</c:v>
                </c:pt>
                <c:pt idx="151">
                  <c:v>65</c:v>
                </c:pt>
                <c:pt idx="152">
                  <c:v>77</c:v>
                </c:pt>
                <c:pt idx="153">
                  <c:v>58</c:v>
                </c:pt>
                <c:pt idx="154">
                  <c:v>32</c:v>
                </c:pt>
                <c:pt idx="155">
                  <c:v>113</c:v>
                </c:pt>
                <c:pt idx="156">
                  <c:v>77</c:v>
                </c:pt>
                <c:pt idx="157">
                  <c:v>72</c:v>
                </c:pt>
                <c:pt idx="158">
                  <c:v>40</c:v>
                </c:pt>
                <c:pt idx="159">
                  <c:v>51</c:v>
                </c:pt>
                <c:pt idx="160">
                  <c:v>29</c:v>
                </c:pt>
                <c:pt idx="161">
                  <c:v>35</c:v>
                </c:pt>
                <c:pt idx="162">
                  <c:v>39</c:v>
                </c:pt>
                <c:pt idx="163">
                  <c:v>37</c:v>
                </c:pt>
                <c:pt idx="164">
                  <c:v>44</c:v>
                </c:pt>
                <c:pt idx="165">
                  <c:v>35</c:v>
                </c:pt>
                <c:pt idx="166">
                  <c:v>43</c:v>
                </c:pt>
              </c:numCache>
            </c:numRef>
          </c:xVal>
          <c:yVal>
            <c:numRef>
              <c:f>data!$H$2:$H$188</c:f>
              <c:numCache>
                <c:formatCode>General</c:formatCode>
                <c:ptCount val="187"/>
                <c:pt idx="0">
                  <c:v>392</c:v>
                </c:pt>
                <c:pt idx="1">
                  <c:v>134</c:v>
                </c:pt>
                <c:pt idx="2">
                  <c:v>137</c:v>
                </c:pt>
                <c:pt idx="3">
                  <c:v>154</c:v>
                </c:pt>
                <c:pt idx="4">
                  <c:v>148</c:v>
                </c:pt>
                <c:pt idx="5">
                  <c:v>37</c:v>
                </c:pt>
                <c:pt idx="6">
                  <c:v>33</c:v>
                </c:pt>
                <c:pt idx="7">
                  <c:v>46</c:v>
                </c:pt>
                <c:pt idx="8">
                  <c:v>41</c:v>
                </c:pt>
                <c:pt idx="9">
                  <c:v>29</c:v>
                </c:pt>
                <c:pt idx="10">
                  <c:v>25</c:v>
                </c:pt>
                <c:pt idx="11">
                  <c:v>87</c:v>
                </c:pt>
                <c:pt idx="12">
                  <c:v>211</c:v>
                </c:pt>
                <c:pt idx="13">
                  <c:v>31</c:v>
                </c:pt>
                <c:pt idx="14">
                  <c:v>25</c:v>
                </c:pt>
                <c:pt idx="15">
                  <c:v>50</c:v>
                </c:pt>
                <c:pt idx="16">
                  <c:v>124</c:v>
                </c:pt>
                <c:pt idx="17">
                  <c:v>48</c:v>
                </c:pt>
                <c:pt idx="18">
                  <c:v>45</c:v>
                </c:pt>
                <c:pt idx="19">
                  <c:v>186</c:v>
                </c:pt>
                <c:pt idx="20">
                  <c:v>77</c:v>
                </c:pt>
                <c:pt idx="21">
                  <c:v>100</c:v>
                </c:pt>
                <c:pt idx="22">
                  <c:v>129</c:v>
                </c:pt>
                <c:pt idx="23">
                  <c:v>43</c:v>
                </c:pt>
                <c:pt idx="24">
                  <c:v>29</c:v>
                </c:pt>
                <c:pt idx="25">
                  <c:v>33</c:v>
                </c:pt>
                <c:pt idx="26">
                  <c:v>22</c:v>
                </c:pt>
                <c:pt idx="27">
                  <c:v>30</c:v>
                </c:pt>
                <c:pt idx="28">
                  <c:v>38</c:v>
                </c:pt>
                <c:pt idx="29">
                  <c:v>102</c:v>
                </c:pt>
                <c:pt idx="30">
                  <c:v>76</c:v>
                </c:pt>
                <c:pt idx="31">
                  <c:v>57</c:v>
                </c:pt>
                <c:pt idx="32">
                  <c:v>59</c:v>
                </c:pt>
                <c:pt idx="33">
                  <c:v>72</c:v>
                </c:pt>
                <c:pt idx="34">
                  <c:v>72</c:v>
                </c:pt>
                <c:pt idx="35">
                  <c:v>84</c:v>
                </c:pt>
                <c:pt idx="36">
                  <c:v>112</c:v>
                </c:pt>
                <c:pt idx="37">
                  <c:v>61</c:v>
                </c:pt>
                <c:pt idx="38">
                  <c:v>99</c:v>
                </c:pt>
                <c:pt idx="39">
                  <c:v>93</c:v>
                </c:pt>
                <c:pt idx="40">
                  <c:v>72</c:v>
                </c:pt>
                <c:pt idx="41">
                  <c:v>41</c:v>
                </c:pt>
                <c:pt idx="42">
                  <c:v>127</c:v>
                </c:pt>
                <c:pt idx="43">
                  <c:v>62</c:v>
                </c:pt>
                <c:pt idx="44">
                  <c:v>62</c:v>
                </c:pt>
                <c:pt idx="45">
                  <c:v>57</c:v>
                </c:pt>
                <c:pt idx="46">
                  <c:v>203</c:v>
                </c:pt>
                <c:pt idx="47">
                  <c:v>253</c:v>
                </c:pt>
                <c:pt idx="48">
                  <c:v>479</c:v>
                </c:pt>
                <c:pt idx="49">
                  <c:v>201</c:v>
                </c:pt>
                <c:pt idx="50">
                  <c:v>86</c:v>
                </c:pt>
                <c:pt idx="51">
                  <c:v>19</c:v>
                </c:pt>
                <c:pt idx="52">
                  <c:v>27</c:v>
                </c:pt>
                <c:pt idx="53">
                  <c:v>147</c:v>
                </c:pt>
                <c:pt idx="54">
                  <c:v>11</c:v>
                </c:pt>
                <c:pt idx="55">
                  <c:v>17</c:v>
                </c:pt>
                <c:pt idx="56">
                  <c:v>18</c:v>
                </c:pt>
                <c:pt idx="57">
                  <c:v>36</c:v>
                </c:pt>
                <c:pt idx="58">
                  <c:v>536</c:v>
                </c:pt>
                <c:pt idx="59">
                  <c:v>1329</c:v>
                </c:pt>
                <c:pt idx="60">
                  <c:v>877</c:v>
                </c:pt>
                <c:pt idx="61">
                  <c:v>119</c:v>
                </c:pt>
                <c:pt idx="62">
                  <c:v>29</c:v>
                </c:pt>
                <c:pt idx="63">
                  <c:v>126</c:v>
                </c:pt>
                <c:pt idx="64">
                  <c:v>52</c:v>
                </c:pt>
                <c:pt idx="65">
                  <c:v>181</c:v>
                </c:pt>
                <c:pt idx="66">
                  <c:v>91</c:v>
                </c:pt>
                <c:pt idx="67">
                  <c:v>47</c:v>
                </c:pt>
                <c:pt idx="68">
                  <c:v>84</c:v>
                </c:pt>
                <c:pt idx="69">
                  <c:v>65</c:v>
                </c:pt>
                <c:pt idx="70">
                  <c:v>214</c:v>
                </c:pt>
                <c:pt idx="71">
                  <c:v>284</c:v>
                </c:pt>
                <c:pt idx="72">
                  <c:v>57</c:v>
                </c:pt>
                <c:pt idx="73">
                  <c:v>89</c:v>
                </c:pt>
                <c:pt idx="74">
                  <c:v>158</c:v>
                </c:pt>
                <c:pt idx="75">
                  <c:v>123</c:v>
                </c:pt>
                <c:pt idx="76">
                  <c:v>318</c:v>
                </c:pt>
                <c:pt idx="77">
                  <c:v>1902</c:v>
                </c:pt>
                <c:pt idx="78">
                  <c:v>452</c:v>
                </c:pt>
                <c:pt idx="79">
                  <c:v>180</c:v>
                </c:pt>
                <c:pt idx="80">
                  <c:v>196</c:v>
                </c:pt>
                <c:pt idx="81">
                  <c:v>158</c:v>
                </c:pt>
                <c:pt idx="82">
                  <c:v>101</c:v>
                </c:pt>
                <c:pt idx="83">
                  <c:v>115</c:v>
                </c:pt>
                <c:pt idx="84">
                  <c:v>105</c:v>
                </c:pt>
                <c:pt idx="85">
                  <c:v>89</c:v>
                </c:pt>
                <c:pt idx="86">
                  <c:v>44</c:v>
                </c:pt>
                <c:pt idx="87">
                  <c:v>152</c:v>
                </c:pt>
                <c:pt idx="88">
                  <c:v>49</c:v>
                </c:pt>
                <c:pt idx="89">
                  <c:v>56</c:v>
                </c:pt>
                <c:pt idx="90">
                  <c:v>270</c:v>
                </c:pt>
                <c:pt idx="91">
                  <c:v>138</c:v>
                </c:pt>
                <c:pt idx="92">
                  <c:v>46</c:v>
                </c:pt>
                <c:pt idx="93">
                  <c:v>39</c:v>
                </c:pt>
                <c:pt idx="94">
                  <c:v>51</c:v>
                </c:pt>
                <c:pt idx="95">
                  <c:v>44</c:v>
                </c:pt>
                <c:pt idx="96">
                  <c:v>37</c:v>
                </c:pt>
                <c:pt idx="97">
                  <c:v>38</c:v>
                </c:pt>
                <c:pt idx="98">
                  <c:v>41</c:v>
                </c:pt>
                <c:pt idx="99">
                  <c:v>52</c:v>
                </c:pt>
                <c:pt idx="100">
                  <c:v>65</c:v>
                </c:pt>
                <c:pt idx="101">
                  <c:v>50</c:v>
                </c:pt>
                <c:pt idx="102">
                  <c:v>49</c:v>
                </c:pt>
                <c:pt idx="103">
                  <c:v>64</c:v>
                </c:pt>
                <c:pt idx="104">
                  <c:v>100</c:v>
                </c:pt>
                <c:pt idx="105">
                  <c:v>29</c:v>
                </c:pt>
                <c:pt idx="106">
                  <c:v>129</c:v>
                </c:pt>
                <c:pt idx="107">
                  <c:v>36</c:v>
                </c:pt>
                <c:pt idx="108">
                  <c:v>282</c:v>
                </c:pt>
                <c:pt idx="109">
                  <c:v>130</c:v>
                </c:pt>
                <c:pt idx="110">
                  <c:v>154</c:v>
                </c:pt>
                <c:pt idx="111">
                  <c:v>140</c:v>
                </c:pt>
                <c:pt idx="112">
                  <c:v>69</c:v>
                </c:pt>
                <c:pt idx="113">
                  <c:v>53</c:v>
                </c:pt>
                <c:pt idx="114">
                  <c:v>74</c:v>
                </c:pt>
                <c:pt idx="115">
                  <c:v>43</c:v>
                </c:pt>
                <c:pt idx="116">
                  <c:v>103</c:v>
                </c:pt>
                <c:pt idx="117">
                  <c:v>160</c:v>
                </c:pt>
                <c:pt idx="118">
                  <c:v>219</c:v>
                </c:pt>
                <c:pt idx="119">
                  <c:v>29</c:v>
                </c:pt>
                <c:pt idx="120">
                  <c:v>163</c:v>
                </c:pt>
                <c:pt idx="121">
                  <c:v>72</c:v>
                </c:pt>
                <c:pt idx="122">
                  <c:v>77</c:v>
                </c:pt>
                <c:pt idx="123">
                  <c:v>111</c:v>
                </c:pt>
                <c:pt idx="124">
                  <c:v>96</c:v>
                </c:pt>
                <c:pt idx="125">
                  <c:v>123</c:v>
                </c:pt>
                <c:pt idx="126">
                  <c:v>42</c:v>
                </c:pt>
                <c:pt idx="127">
                  <c:v>79</c:v>
                </c:pt>
                <c:pt idx="128">
                  <c:v>186</c:v>
                </c:pt>
                <c:pt idx="129">
                  <c:v>8320</c:v>
                </c:pt>
                <c:pt idx="130">
                  <c:v>285</c:v>
                </c:pt>
                <c:pt idx="131">
                  <c:v>163</c:v>
                </c:pt>
                <c:pt idx="132">
                  <c:v>1124</c:v>
                </c:pt>
                <c:pt idx="133">
                  <c:v>70</c:v>
                </c:pt>
                <c:pt idx="134">
                  <c:v>826</c:v>
                </c:pt>
                <c:pt idx="135">
                  <c:v>119</c:v>
                </c:pt>
                <c:pt idx="136">
                  <c:v>780</c:v>
                </c:pt>
                <c:pt idx="137">
                  <c:v>586</c:v>
                </c:pt>
                <c:pt idx="138">
                  <c:v>355</c:v>
                </c:pt>
                <c:pt idx="139">
                  <c:v>572</c:v>
                </c:pt>
                <c:pt idx="140">
                  <c:v>25</c:v>
                </c:pt>
                <c:pt idx="141">
                  <c:v>1419</c:v>
                </c:pt>
                <c:pt idx="142">
                  <c:v>45</c:v>
                </c:pt>
                <c:pt idx="143">
                  <c:v>795</c:v>
                </c:pt>
                <c:pt idx="144">
                  <c:v>1543</c:v>
                </c:pt>
                <c:pt idx="145">
                  <c:v>2398</c:v>
                </c:pt>
                <c:pt idx="146">
                  <c:v>244</c:v>
                </c:pt>
                <c:pt idx="147">
                  <c:v>408</c:v>
                </c:pt>
                <c:pt idx="148">
                  <c:v>260</c:v>
                </c:pt>
                <c:pt idx="149">
                  <c:v>507</c:v>
                </c:pt>
                <c:pt idx="150">
                  <c:v>116</c:v>
                </c:pt>
                <c:pt idx="151">
                  <c:v>122</c:v>
                </c:pt>
                <c:pt idx="152">
                  <c:v>125</c:v>
                </c:pt>
                <c:pt idx="153">
                  <c:v>79</c:v>
                </c:pt>
                <c:pt idx="154">
                  <c:v>54</c:v>
                </c:pt>
                <c:pt idx="155">
                  <c:v>394</c:v>
                </c:pt>
                <c:pt idx="156">
                  <c:v>207</c:v>
                </c:pt>
                <c:pt idx="157">
                  <c:v>145</c:v>
                </c:pt>
                <c:pt idx="158">
                  <c:v>66</c:v>
                </c:pt>
                <c:pt idx="159">
                  <c:v>106</c:v>
                </c:pt>
                <c:pt idx="160">
                  <c:v>56</c:v>
                </c:pt>
                <c:pt idx="161">
                  <c:v>54</c:v>
                </c:pt>
                <c:pt idx="162">
                  <c:v>55</c:v>
                </c:pt>
                <c:pt idx="163">
                  <c:v>67</c:v>
                </c:pt>
                <c:pt idx="164">
                  <c:v>73</c:v>
                </c:pt>
                <c:pt idx="165">
                  <c:v>86</c:v>
                </c:pt>
                <c:pt idx="166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F-9048-908D-BBF798F3A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533935"/>
        <c:axId val="2055535647"/>
      </c:scatterChart>
      <c:valAx>
        <c:axId val="2055533935"/>
        <c:scaling>
          <c:logBase val="10"/>
          <c:orientation val="minMax"/>
          <c:max val="200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5535647"/>
        <c:crosses val="autoZero"/>
        <c:crossBetween val="midCat"/>
      </c:valAx>
      <c:valAx>
        <c:axId val="2055535647"/>
        <c:scaling>
          <c:logBase val="10"/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5533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238125</xdr:colOff>
      <xdr:row>47</xdr:row>
      <xdr:rowOff>745065</xdr:rowOff>
    </xdr:from>
    <xdr:to>
      <xdr:col>24</xdr:col>
      <xdr:colOff>222251</xdr:colOff>
      <xdr:row>60</xdr:row>
      <xdr:rowOff>275166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53E8EE-4475-A920-22FD-B6A856269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i.org/10.1111/oik.081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0395-E464-4640-A412-2F1A5477472E}">
  <dimension ref="A1:L188"/>
  <sheetViews>
    <sheetView tabSelected="1" zoomScale="120" zoomScaleNormal="120" workbookViewId="0">
      <pane ySplit="1" topLeftCell="A164" activePane="bottomLeft" state="frozenSplit"/>
      <selection pane="bottomLeft" activeCell="A169" sqref="A169"/>
    </sheetView>
  </sheetViews>
  <sheetFormatPr baseColWidth="10" defaultRowHeight="42" customHeight="1" x14ac:dyDescent="0.2"/>
  <cols>
    <col min="1" max="1" width="10.83203125" style="12"/>
    <col min="2" max="2" width="12.33203125" style="12" customWidth="1"/>
    <col min="3" max="3" width="7.83203125" style="12" customWidth="1"/>
    <col min="4" max="4" width="52.5" style="12" customWidth="1"/>
    <col min="5" max="8" width="8.5" style="13" customWidth="1"/>
    <col min="9" max="9" width="11" style="31" customWidth="1"/>
    <col min="10" max="10" width="9.6640625" style="13" customWidth="1"/>
    <col min="11" max="11" width="38.33203125" style="14" customWidth="1"/>
    <col min="12" max="12" width="111.33203125" style="16" customWidth="1"/>
    <col min="13" max="16384" width="10.83203125" style="12"/>
  </cols>
  <sheetData>
    <row r="1" spans="1:12" ht="42" customHeight="1" x14ac:dyDescent="0.2">
      <c r="A1" s="13" t="s">
        <v>221</v>
      </c>
      <c r="B1" s="13" t="s">
        <v>265</v>
      </c>
      <c r="C1" s="13" t="s">
        <v>222</v>
      </c>
      <c r="D1" s="13" t="s">
        <v>157</v>
      </c>
      <c r="E1" s="13" t="s">
        <v>118</v>
      </c>
      <c r="F1" s="13" t="s">
        <v>117</v>
      </c>
      <c r="G1" s="13" t="s">
        <v>116</v>
      </c>
      <c r="H1" s="13" t="s">
        <v>119</v>
      </c>
      <c r="I1" s="31" t="s">
        <v>120</v>
      </c>
      <c r="J1" s="13" t="s">
        <v>261</v>
      </c>
      <c r="K1" s="14" t="s">
        <v>223</v>
      </c>
      <c r="L1" s="15" t="s">
        <v>264</v>
      </c>
    </row>
    <row r="2" spans="1:12" ht="42" customHeight="1" x14ac:dyDescent="0.2">
      <c r="A2" s="17">
        <v>1</v>
      </c>
      <c r="B2" s="17" t="s">
        <v>269</v>
      </c>
      <c r="C2" s="17" t="s">
        <v>121</v>
      </c>
      <c r="D2" s="18" t="s">
        <v>224</v>
      </c>
      <c r="E2" s="17">
        <v>40</v>
      </c>
      <c r="F2" s="17">
        <v>27</v>
      </c>
      <c r="G2" s="17">
        <f t="shared" ref="G2:G33" si="0">E2+F2</f>
        <v>67</v>
      </c>
      <c r="H2" s="17">
        <v>392</v>
      </c>
      <c r="I2" s="32">
        <f t="shared" ref="I2:I33" si="1">H2/(E2*F2)</f>
        <v>0.36296296296296299</v>
      </c>
      <c r="J2" s="17" t="s">
        <v>262</v>
      </c>
      <c r="K2" s="19" t="s">
        <v>122</v>
      </c>
      <c r="L2" s="20" t="s">
        <v>123</v>
      </c>
    </row>
    <row r="3" spans="1:12" ht="42" customHeight="1" x14ac:dyDescent="0.2">
      <c r="A3" s="17">
        <v>2</v>
      </c>
      <c r="B3" s="17" t="s">
        <v>270</v>
      </c>
      <c r="C3" s="17" t="s">
        <v>121</v>
      </c>
      <c r="D3" s="18" t="s">
        <v>225</v>
      </c>
      <c r="E3" s="17">
        <v>40</v>
      </c>
      <c r="F3" s="17">
        <v>16</v>
      </c>
      <c r="G3" s="17">
        <f t="shared" si="0"/>
        <v>56</v>
      </c>
      <c r="H3" s="17">
        <v>134</v>
      </c>
      <c r="I3" s="32">
        <f t="shared" si="1"/>
        <v>0.20937500000000001</v>
      </c>
      <c r="J3" s="17" t="s">
        <v>262</v>
      </c>
      <c r="K3" s="19" t="s">
        <v>124</v>
      </c>
      <c r="L3" s="20" t="s">
        <v>123</v>
      </c>
    </row>
    <row r="4" spans="1:12" ht="42" customHeight="1" x14ac:dyDescent="0.2">
      <c r="A4" s="17">
        <v>3</v>
      </c>
      <c r="B4" s="17" t="s">
        <v>271</v>
      </c>
      <c r="C4" s="17" t="s">
        <v>121</v>
      </c>
      <c r="D4" s="18" t="s">
        <v>226</v>
      </c>
      <c r="E4" s="17">
        <v>35</v>
      </c>
      <c r="F4" s="17">
        <v>10</v>
      </c>
      <c r="G4" s="17">
        <f t="shared" si="0"/>
        <v>45</v>
      </c>
      <c r="H4" s="17">
        <v>137</v>
      </c>
      <c r="I4" s="32">
        <f t="shared" si="1"/>
        <v>0.3914285714285714</v>
      </c>
      <c r="J4" s="17" t="s">
        <v>262</v>
      </c>
      <c r="K4" s="19" t="s">
        <v>125</v>
      </c>
      <c r="L4" s="20" t="s">
        <v>126</v>
      </c>
    </row>
    <row r="5" spans="1:12" ht="42" customHeight="1" x14ac:dyDescent="0.2">
      <c r="A5" s="17">
        <v>4</v>
      </c>
      <c r="B5" s="17" t="s">
        <v>272</v>
      </c>
      <c r="C5" s="17" t="s">
        <v>121</v>
      </c>
      <c r="D5" s="18" t="s">
        <v>226</v>
      </c>
      <c r="E5" s="17">
        <v>35</v>
      </c>
      <c r="F5" s="17">
        <v>10</v>
      </c>
      <c r="G5" s="17">
        <f t="shared" si="0"/>
        <v>45</v>
      </c>
      <c r="H5" s="17">
        <v>154</v>
      </c>
      <c r="I5" s="32">
        <f t="shared" si="1"/>
        <v>0.44</v>
      </c>
      <c r="J5" s="17" t="s">
        <v>262</v>
      </c>
      <c r="K5" s="19" t="s">
        <v>127</v>
      </c>
      <c r="L5" s="20" t="s">
        <v>126</v>
      </c>
    </row>
    <row r="6" spans="1:12" ht="42" customHeight="1" x14ac:dyDescent="0.2">
      <c r="A6" s="17">
        <v>5</v>
      </c>
      <c r="B6" s="17" t="s">
        <v>273</v>
      </c>
      <c r="C6" s="17" t="s">
        <v>121</v>
      </c>
      <c r="D6" s="18" t="s">
        <v>226</v>
      </c>
      <c r="E6" s="17">
        <v>35</v>
      </c>
      <c r="F6" s="17">
        <v>11</v>
      </c>
      <c r="G6" s="17">
        <f t="shared" si="0"/>
        <v>46</v>
      </c>
      <c r="H6" s="17">
        <v>148</v>
      </c>
      <c r="I6" s="32">
        <f t="shared" si="1"/>
        <v>0.38441558441558443</v>
      </c>
      <c r="J6" s="17" t="s">
        <v>262</v>
      </c>
      <c r="K6" s="19" t="s">
        <v>128</v>
      </c>
      <c r="L6" s="20" t="s">
        <v>126</v>
      </c>
    </row>
    <row r="7" spans="1:12" ht="42" customHeight="1" x14ac:dyDescent="0.2">
      <c r="A7" s="17">
        <v>6</v>
      </c>
      <c r="B7" s="17" t="s">
        <v>274</v>
      </c>
      <c r="C7" s="17" t="s">
        <v>121</v>
      </c>
      <c r="D7" s="18" t="s">
        <v>227</v>
      </c>
      <c r="E7" s="17">
        <v>13</v>
      </c>
      <c r="F7" s="17">
        <v>10</v>
      </c>
      <c r="G7" s="17">
        <f t="shared" si="0"/>
        <v>23</v>
      </c>
      <c r="H7" s="17">
        <v>37</v>
      </c>
      <c r="I7" s="32">
        <f t="shared" si="1"/>
        <v>0.2846153846153846</v>
      </c>
      <c r="J7" s="17" t="s">
        <v>263</v>
      </c>
      <c r="K7" s="19" t="s">
        <v>129</v>
      </c>
      <c r="L7" s="20" t="s">
        <v>130</v>
      </c>
    </row>
    <row r="8" spans="1:12" ht="42" customHeight="1" x14ac:dyDescent="0.2">
      <c r="A8" s="17">
        <v>7</v>
      </c>
      <c r="B8" s="17" t="s">
        <v>275</v>
      </c>
      <c r="C8" s="17" t="s">
        <v>121</v>
      </c>
      <c r="D8" s="18" t="s">
        <v>227</v>
      </c>
      <c r="E8" s="17">
        <v>14</v>
      </c>
      <c r="F8" s="17">
        <v>10</v>
      </c>
      <c r="G8" s="17">
        <f t="shared" si="0"/>
        <v>24</v>
      </c>
      <c r="H8" s="17">
        <v>33</v>
      </c>
      <c r="I8" s="32">
        <f t="shared" si="1"/>
        <v>0.23571428571428571</v>
      </c>
      <c r="J8" s="17" t="s">
        <v>263</v>
      </c>
      <c r="K8" s="19" t="s">
        <v>131</v>
      </c>
      <c r="L8" s="20" t="s">
        <v>130</v>
      </c>
    </row>
    <row r="9" spans="1:12" ht="42" customHeight="1" x14ac:dyDescent="0.2">
      <c r="A9" s="17">
        <v>8</v>
      </c>
      <c r="B9" s="17" t="s">
        <v>276</v>
      </c>
      <c r="C9" s="17" t="s">
        <v>121</v>
      </c>
      <c r="D9" s="18" t="s">
        <v>227</v>
      </c>
      <c r="E9" s="17">
        <v>14</v>
      </c>
      <c r="F9" s="17">
        <v>13</v>
      </c>
      <c r="G9" s="17">
        <f t="shared" si="0"/>
        <v>27</v>
      </c>
      <c r="H9" s="17">
        <v>46</v>
      </c>
      <c r="I9" s="32">
        <f t="shared" si="1"/>
        <v>0.25274725274725274</v>
      </c>
      <c r="J9" s="17" t="s">
        <v>263</v>
      </c>
      <c r="K9" s="19" t="s">
        <v>132</v>
      </c>
      <c r="L9" s="20" t="s">
        <v>130</v>
      </c>
    </row>
    <row r="10" spans="1:12" ht="42" customHeight="1" x14ac:dyDescent="0.2">
      <c r="A10" s="17">
        <v>9</v>
      </c>
      <c r="B10" s="17" t="s">
        <v>277</v>
      </c>
      <c r="C10" s="17" t="s">
        <v>121</v>
      </c>
      <c r="D10" s="18" t="s">
        <v>227</v>
      </c>
      <c r="E10" s="17">
        <v>13</v>
      </c>
      <c r="F10" s="17">
        <v>12</v>
      </c>
      <c r="G10" s="17">
        <f t="shared" si="0"/>
        <v>25</v>
      </c>
      <c r="H10" s="17">
        <v>41</v>
      </c>
      <c r="I10" s="32">
        <f t="shared" si="1"/>
        <v>0.26282051282051283</v>
      </c>
      <c r="J10" s="17" t="s">
        <v>263</v>
      </c>
      <c r="K10" s="19" t="s">
        <v>133</v>
      </c>
      <c r="L10" s="20" t="s">
        <v>130</v>
      </c>
    </row>
    <row r="11" spans="1:12" ht="42" customHeight="1" x14ac:dyDescent="0.2">
      <c r="A11" s="17">
        <v>10</v>
      </c>
      <c r="B11" s="17" t="s">
        <v>278</v>
      </c>
      <c r="C11" s="17" t="s">
        <v>121</v>
      </c>
      <c r="D11" s="18" t="s">
        <v>227</v>
      </c>
      <c r="E11" s="17">
        <v>12</v>
      </c>
      <c r="F11" s="17">
        <v>11</v>
      </c>
      <c r="G11" s="17">
        <f t="shared" si="0"/>
        <v>23</v>
      </c>
      <c r="H11" s="17">
        <v>29</v>
      </c>
      <c r="I11" s="32">
        <f t="shared" si="1"/>
        <v>0.2196969696969697</v>
      </c>
      <c r="J11" s="17" t="s">
        <v>263</v>
      </c>
      <c r="K11" s="19" t="s">
        <v>134</v>
      </c>
      <c r="L11" s="20" t="s">
        <v>130</v>
      </c>
    </row>
    <row r="12" spans="1:12" ht="42" customHeight="1" x14ac:dyDescent="0.2">
      <c r="A12" s="17">
        <v>11</v>
      </c>
      <c r="B12" s="17" t="s">
        <v>279</v>
      </c>
      <c r="C12" s="17" t="s">
        <v>121</v>
      </c>
      <c r="D12" s="18" t="s">
        <v>227</v>
      </c>
      <c r="E12" s="17">
        <v>11</v>
      </c>
      <c r="F12" s="17">
        <v>7</v>
      </c>
      <c r="G12" s="17">
        <f t="shared" si="0"/>
        <v>18</v>
      </c>
      <c r="H12" s="17">
        <v>25</v>
      </c>
      <c r="I12" s="32">
        <f t="shared" si="1"/>
        <v>0.32467532467532467</v>
      </c>
      <c r="J12" s="17" t="s">
        <v>263</v>
      </c>
      <c r="K12" s="19" t="s">
        <v>135</v>
      </c>
      <c r="L12" s="20" t="s">
        <v>130</v>
      </c>
    </row>
    <row r="13" spans="1:12" ht="42" customHeight="1" x14ac:dyDescent="0.2">
      <c r="A13" s="17">
        <v>12</v>
      </c>
      <c r="B13" s="17" t="s">
        <v>280</v>
      </c>
      <c r="C13" s="17" t="s">
        <v>121</v>
      </c>
      <c r="D13" s="18" t="s">
        <v>228</v>
      </c>
      <c r="E13" s="17">
        <v>18</v>
      </c>
      <c r="F13" s="17">
        <v>17</v>
      </c>
      <c r="G13" s="17">
        <f t="shared" si="0"/>
        <v>35</v>
      </c>
      <c r="H13" s="17">
        <v>87</v>
      </c>
      <c r="I13" s="32">
        <f t="shared" si="1"/>
        <v>0.28431372549019607</v>
      </c>
      <c r="J13" s="17" t="s">
        <v>262</v>
      </c>
      <c r="K13" s="19" t="s">
        <v>260</v>
      </c>
      <c r="L13" s="20" t="s">
        <v>136</v>
      </c>
    </row>
    <row r="14" spans="1:12" ht="42" customHeight="1" x14ac:dyDescent="0.2">
      <c r="A14" s="17">
        <v>13</v>
      </c>
      <c r="B14" s="17" t="s">
        <v>281</v>
      </c>
      <c r="C14" s="17" t="s">
        <v>121</v>
      </c>
      <c r="D14" s="18" t="s">
        <v>229</v>
      </c>
      <c r="E14" s="17">
        <v>19</v>
      </c>
      <c r="F14" s="17">
        <v>20</v>
      </c>
      <c r="G14" s="17">
        <f t="shared" si="0"/>
        <v>39</v>
      </c>
      <c r="H14" s="17">
        <v>211</v>
      </c>
      <c r="I14" s="32">
        <f t="shared" si="1"/>
        <v>0.55526315789473679</v>
      </c>
      <c r="J14" s="17" t="s">
        <v>262</v>
      </c>
      <c r="K14" s="19" t="s">
        <v>260</v>
      </c>
      <c r="L14" s="20" t="s">
        <v>137</v>
      </c>
    </row>
    <row r="15" spans="1:12" ht="42" customHeight="1" x14ac:dyDescent="0.2">
      <c r="A15" s="17">
        <v>14</v>
      </c>
      <c r="B15" s="17" t="s">
        <v>282</v>
      </c>
      <c r="C15" s="17" t="s">
        <v>121</v>
      </c>
      <c r="D15" s="18" t="s">
        <v>230</v>
      </c>
      <c r="E15" s="17">
        <v>17</v>
      </c>
      <c r="F15" s="17">
        <v>9</v>
      </c>
      <c r="G15" s="17">
        <f t="shared" si="0"/>
        <v>26</v>
      </c>
      <c r="H15" s="17">
        <v>31</v>
      </c>
      <c r="I15" s="32">
        <f t="shared" si="1"/>
        <v>0.20261437908496732</v>
      </c>
      <c r="J15" s="17" t="s">
        <v>263</v>
      </c>
      <c r="K15" s="19" t="s">
        <v>138</v>
      </c>
      <c r="L15" s="20" t="s">
        <v>139</v>
      </c>
    </row>
    <row r="16" spans="1:12" ht="42" customHeight="1" x14ac:dyDescent="0.2">
      <c r="A16" s="17">
        <v>15</v>
      </c>
      <c r="B16" s="17" t="s">
        <v>283</v>
      </c>
      <c r="C16" s="17" t="s">
        <v>121</v>
      </c>
      <c r="D16" s="18" t="s">
        <v>230</v>
      </c>
      <c r="E16" s="17">
        <v>15</v>
      </c>
      <c r="F16" s="17">
        <v>7</v>
      </c>
      <c r="G16" s="17">
        <f t="shared" si="0"/>
        <v>22</v>
      </c>
      <c r="H16" s="17">
        <v>25</v>
      </c>
      <c r="I16" s="32">
        <f t="shared" si="1"/>
        <v>0.23809523809523808</v>
      </c>
      <c r="J16" s="17" t="s">
        <v>263</v>
      </c>
      <c r="K16" s="19" t="s">
        <v>140</v>
      </c>
      <c r="L16" s="20" t="s">
        <v>139</v>
      </c>
    </row>
    <row r="17" spans="1:12" ht="42" customHeight="1" x14ac:dyDescent="0.2">
      <c r="A17" s="17">
        <v>16</v>
      </c>
      <c r="B17" s="17" t="s">
        <v>284</v>
      </c>
      <c r="C17" s="17" t="s">
        <v>121</v>
      </c>
      <c r="D17" s="18" t="s">
        <v>230</v>
      </c>
      <c r="E17" s="17">
        <v>30</v>
      </c>
      <c r="F17" s="17">
        <v>8</v>
      </c>
      <c r="G17" s="17">
        <f t="shared" si="0"/>
        <v>38</v>
      </c>
      <c r="H17" s="17">
        <v>50</v>
      </c>
      <c r="I17" s="32">
        <f t="shared" si="1"/>
        <v>0.20833333333333334</v>
      </c>
      <c r="J17" s="17" t="s">
        <v>263</v>
      </c>
      <c r="K17" s="19" t="s">
        <v>141</v>
      </c>
      <c r="L17" s="20" t="s">
        <v>139</v>
      </c>
    </row>
    <row r="18" spans="1:12" ht="42" customHeight="1" x14ac:dyDescent="0.2">
      <c r="A18" s="17">
        <v>17</v>
      </c>
      <c r="B18" s="17" t="s">
        <v>285</v>
      </c>
      <c r="C18" s="17" t="s">
        <v>121</v>
      </c>
      <c r="D18" s="18" t="s">
        <v>231</v>
      </c>
      <c r="E18" s="17">
        <v>27</v>
      </c>
      <c r="F18" s="17">
        <v>37</v>
      </c>
      <c r="G18" s="17">
        <f t="shared" si="0"/>
        <v>64</v>
      </c>
      <c r="H18" s="17">
        <v>124</v>
      </c>
      <c r="I18" s="32">
        <f t="shared" si="1"/>
        <v>0.12412412412412413</v>
      </c>
      <c r="J18" s="17" t="s">
        <v>263</v>
      </c>
      <c r="K18" s="19" t="s">
        <v>260</v>
      </c>
      <c r="L18" s="20" t="s">
        <v>142</v>
      </c>
    </row>
    <row r="19" spans="1:12" ht="42" customHeight="1" x14ac:dyDescent="0.2">
      <c r="A19" s="17">
        <v>18</v>
      </c>
      <c r="B19" s="17" t="s">
        <v>286</v>
      </c>
      <c r="C19" s="17" t="s">
        <v>121</v>
      </c>
      <c r="D19" s="18" t="s">
        <v>232</v>
      </c>
      <c r="E19" s="17">
        <v>24</v>
      </c>
      <c r="F19" s="17">
        <v>11</v>
      </c>
      <c r="G19" s="17">
        <f t="shared" si="0"/>
        <v>35</v>
      </c>
      <c r="H19" s="17">
        <v>48</v>
      </c>
      <c r="I19" s="32">
        <f t="shared" si="1"/>
        <v>0.18181818181818182</v>
      </c>
      <c r="J19" s="17" t="s">
        <v>263</v>
      </c>
      <c r="K19" s="19" t="s">
        <v>260</v>
      </c>
      <c r="L19" s="30" t="s">
        <v>253</v>
      </c>
    </row>
    <row r="20" spans="1:12" ht="42" customHeight="1" x14ac:dyDescent="0.2">
      <c r="A20" s="17">
        <v>19</v>
      </c>
      <c r="B20" s="17" t="s">
        <v>287</v>
      </c>
      <c r="C20" s="17" t="s">
        <v>121</v>
      </c>
      <c r="D20" s="18" t="s">
        <v>233</v>
      </c>
      <c r="E20" s="17">
        <v>25</v>
      </c>
      <c r="F20" s="17">
        <v>7</v>
      </c>
      <c r="G20" s="17">
        <f t="shared" si="0"/>
        <v>32</v>
      </c>
      <c r="H20" s="17">
        <v>45</v>
      </c>
      <c r="I20" s="32">
        <f t="shared" si="1"/>
        <v>0.25714285714285712</v>
      </c>
      <c r="J20" s="17" t="s">
        <v>263</v>
      </c>
      <c r="K20" s="19" t="s">
        <v>260</v>
      </c>
      <c r="L20" s="20" t="s">
        <v>253</v>
      </c>
    </row>
    <row r="21" spans="1:12" ht="42" customHeight="1" x14ac:dyDescent="0.2">
      <c r="A21" s="17">
        <v>20</v>
      </c>
      <c r="B21" s="17" t="s">
        <v>288</v>
      </c>
      <c r="C21" s="17" t="s">
        <v>121</v>
      </c>
      <c r="D21" s="18" t="s">
        <v>234</v>
      </c>
      <c r="E21" s="17">
        <v>32</v>
      </c>
      <c r="F21" s="17">
        <v>21</v>
      </c>
      <c r="G21" s="17">
        <f t="shared" si="0"/>
        <v>53</v>
      </c>
      <c r="H21" s="17">
        <v>186</v>
      </c>
      <c r="I21" s="32">
        <f t="shared" si="1"/>
        <v>0.2767857142857143</v>
      </c>
      <c r="J21" s="17" t="s">
        <v>263</v>
      </c>
      <c r="K21" s="19" t="s">
        <v>260</v>
      </c>
      <c r="L21" s="20" t="s">
        <v>253</v>
      </c>
    </row>
    <row r="22" spans="1:12" ht="42" customHeight="1" x14ac:dyDescent="0.2">
      <c r="A22" s="17">
        <v>21</v>
      </c>
      <c r="B22" s="17" t="s">
        <v>289</v>
      </c>
      <c r="C22" s="17" t="s">
        <v>121</v>
      </c>
      <c r="D22" s="18" t="s">
        <v>235</v>
      </c>
      <c r="E22" s="17">
        <v>18</v>
      </c>
      <c r="F22" s="17">
        <v>22</v>
      </c>
      <c r="G22" s="17">
        <f t="shared" si="0"/>
        <v>40</v>
      </c>
      <c r="H22" s="17">
        <v>77</v>
      </c>
      <c r="I22" s="32">
        <f t="shared" si="1"/>
        <v>0.19444444444444445</v>
      </c>
      <c r="J22" s="17" t="s">
        <v>263</v>
      </c>
      <c r="K22" s="19" t="s">
        <v>260</v>
      </c>
      <c r="L22" s="20" t="s">
        <v>254</v>
      </c>
    </row>
    <row r="23" spans="1:12" ht="42" customHeight="1" x14ac:dyDescent="0.2">
      <c r="A23" s="17">
        <v>22</v>
      </c>
      <c r="B23" s="17" t="s">
        <v>290</v>
      </c>
      <c r="C23" s="17" t="s">
        <v>121</v>
      </c>
      <c r="D23" s="18" t="s">
        <v>236</v>
      </c>
      <c r="E23" s="17">
        <v>31</v>
      </c>
      <c r="F23" s="17">
        <v>9</v>
      </c>
      <c r="G23" s="17">
        <f t="shared" si="0"/>
        <v>40</v>
      </c>
      <c r="H23" s="17">
        <v>100</v>
      </c>
      <c r="I23" s="32">
        <f t="shared" si="1"/>
        <v>0.35842293906810035</v>
      </c>
      <c r="J23" s="17" t="s">
        <v>263</v>
      </c>
      <c r="K23" s="19" t="s">
        <v>260</v>
      </c>
      <c r="L23" s="20" t="s">
        <v>143</v>
      </c>
    </row>
    <row r="24" spans="1:12" ht="42" customHeight="1" x14ac:dyDescent="0.2">
      <c r="A24" s="17">
        <v>23</v>
      </c>
      <c r="B24" s="17" t="s">
        <v>291</v>
      </c>
      <c r="C24" s="17" t="s">
        <v>121</v>
      </c>
      <c r="D24" s="18" t="s">
        <v>237</v>
      </c>
      <c r="E24" s="17">
        <v>24</v>
      </c>
      <c r="F24" s="17">
        <v>15</v>
      </c>
      <c r="G24" s="17">
        <f t="shared" si="0"/>
        <v>39</v>
      </c>
      <c r="H24" s="17">
        <v>129</v>
      </c>
      <c r="I24" s="32">
        <f t="shared" si="1"/>
        <v>0.35833333333333334</v>
      </c>
      <c r="J24" s="17" t="s">
        <v>262</v>
      </c>
      <c r="K24" s="19" t="s">
        <v>260</v>
      </c>
      <c r="L24" s="20" t="s">
        <v>452</v>
      </c>
    </row>
    <row r="25" spans="1:12" ht="42" customHeight="1" x14ac:dyDescent="0.2">
      <c r="A25" s="17">
        <v>24</v>
      </c>
      <c r="B25" s="17" t="s">
        <v>292</v>
      </c>
      <c r="C25" s="17" t="s">
        <v>121</v>
      </c>
      <c r="D25" s="18" t="s">
        <v>238</v>
      </c>
      <c r="E25" s="17">
        <v>15</v>
      </c>
      <c r="F25" s="17">
        <v>11</v>
      </c>
      <c r="G25" s="17">
        <f t="shared" si="0"/>
        <v>26</v>
      </c>
      <c r="H25" s="17">
        <v>43</v>
      </c>
      <c r="I25" s="32">
        <f t="shared" si="1"/>
        <v>0.26060606060606062</v>
      </c>
      <c r="J25" s="17" t="s">
        <v>263</v>
      </c>
      <c r="K25" s="19" t="s">
        <v>260</v>
      </c>
      <c r="L25" s="30" t="s">
        <v>255</v>
      </c>
    </row>
    <row r="26" spans="1:12" ht="42" customHeight="1" x14ac:dyDescent="0.2">
      <c r="A26" s="17">
        <v>25</v>
      </c>
      <c r="B26" s="17" t="s">
        <v>293</v>
      </c>
      <c r="C26" s="17" t="s">
        <v>121</v>
      </c>
      <c r="D26" s="18" t="s">
        <v>239</v>
      </c>
      <c r="E26" s="17">
        <v>12</v>
      </c>
      <c r="F26" s="17">
        <v>6</v>
      </c>
      <c r="G26" s="17">
        <f t="shared" si="0"/>
        <v>18</v>
      </c>
      <c r="H26" s="17">
        <v>29</v>
      </c>
      <c r="I26" s="32">
        <f t="shared" si="1"/>
        <v>0.40277777777777779</v>
      </c>
      <c r="J26" s="17" t="s">
        <v>263</v>
      </c>
      <c r="K26" s="19" t="s">
        <v>260</v>
      </c>
      <c r="L26" s="20" t="s">
        <v>255</v>
      </c>
    </row>
    <row r="27" spans="1:12" ht="42" customHeight="1" x14ac:dyDescent="0.2">
      <c r="A27" s="17">
        <v>26</v>
      </c>
      <c r="B27" s="17" t="s">
        <v>294</v>
      </c>
      <c r="C27" s="17" t="s">
        <v>121</v>
      </c>
      <c r="D27" s="18" t="s">
        <v>240</v>
      </c>
      <c r="E27" s="17">
        <v>13</v>
      </c>
      <c r="F27" s="17">
        <v>5</v>
      </c>
      <c r="G27" s="17">
        <f t="shared" si="0"/>
        <v>18</v>
      </c>
      <c r="H27" s="17">
        <v>33</v>
      </c>
      <c r="I27" s="32">
        <f t="shared" si="1"/>
        <v>0.50769230769230766</v>
      </c>
      <c r="J27" s="17" t="s">
        <v>263</v>
      </c>
      <c r="K27" s="19" t="s">
        <v>260</v>
      </c>
      <c r="L27" s="20" t="s">
        <v>255</v>
      </c>
    </row>
    <row r="28" spans="1:12" ht="42" customHeight="1" x14ac:dyDescent="0.2">
      <c r="A28" s="17">
        <v>27</v>
      </c>
      <c r="B28" s="17" t="s">
        <v>295</v>
      </c>
      <c r="C28" s="17" t="s">
        <v>121</v>
      </c>
      <c r="D28" s="18" t="s">
        <v>241</v>
      </c>
      <c r="E28" s="17">
        <v>10</v>
      </c>
      <c r="F28" s="17">
        <v>8</v>
      </c>
      <c r="G28" s="17">
        <f t="shared" si="0"/>
        <v>18</v>
      </c>
      <c r="H28" s="17">
        <v>22</v>
      </c>
      <c r="I28" s="32">
        <f t="shared" si="1"/>
        <v>0.27500000000000002</v>
      </c>
      <c r="J28" s="17" t="s">
        <v>263</v>
      </c>
      <c r="K28" s="19" t="s">
        <v>260</v>
      </c>
      <c r="L28" s="20" t="s">
        <v>255</v>
      </c>
    </row>
    <row r="29" spans="1:12" ht="42" customHeight="1" x14ac:dyDescent="0.2">
      <c r="A29" s="17">
        <v>28</v>
      </c>
      <c r="B29" s="17" t="s">
        <v>296</v>
      </c>
      <c r="C29" s="17" t="s">
        <v>121</v>
      </c>
      <c r="D29" s="18" t="s">
        <v>242</v>
      </c>
      <c r="E29" s="17">
        <v>10</v>
      </c>
      <c r="F29" s="17">
        <v>8</v>
      </c>
      <c r="G29" s="17">
        <f t="shared" si="0"/>
        <v>18</v>
      </c>
      <c r="H29" s="17">
        <v>30</v>
      </c>
      <c r="I29" s="32">
        <f t="shared" si="1"/>
        <v>0.375</v>
      </c>
      <c r="J29" s="17" t="s">
        <v>263</v>
      </c>
      <c r="K29" s="19" t="s">
        <v>260</v>
      </c>
      <c r="L29" s="20" t="s">
        <v>255</v>
      </c>
    </row>
    <row r="30" spans="1:12" ht="42" customHeight="1" x14ac:dyDescent="0.2">
      <c r="A30" s="17">
        <v>29</v>
      </c>
      <c r="B30" s="17" t="s">
        <v>297</v>
      </c>
      <c r="C30" s="17" t="s">
        <v>121</v>
      </c>
      <c r="D30" s="18" t="s">
        <v>243</v>
      </c>
      <c r="E30" s="17">
        <v>14</v>
      </c>
      <c r="F30" s="17">
        <v>10</v>
      </c>
      <c r="G30" s="17">
        <f t="shared" si="0"/>
        <v>24</v>
      </c>
      <c r="H30" s="17">
        <v>38</v>
      </c>
      <c r="I30" s="32">
        <f t="shared" si="1"/>
        <v>0.27142857142857141</v>
      </c>
      <c r="J30" s="17" t="s">
        <v>262</v>
      </c>
      <c r="K30" s="19" t="s">
        <v>260</v>
      </c>
      <c r="L30" s="20" t="s">
        <v>255</v>
      </c>
    </row>
    <row r="31" spans="1:12" ht="42" customHeight="1" x14ac:dyDescent="0.2">
      <c r="A31" s="17">
        <v>30</v>
      </c>
      <c r="B31" s="17" t="s">
        <v>298</v>
      </c>
      <c r="C31" s="17" t="s">
        <v>121</v>
      </c>
      <c r="D31" s="18" t="s">
        <v>244</v>
      </c>
      <c r="E31" s="17">
        <v>15</v>
      </c>
      <c r="F31" s="17">
        <v>13</v>
      </c>
      <c r="G31" s="17">
        <f t="shared" si="0"/>
        <v>28</v>
      </c>
      <c r="H31" s="17">
        <v>102</v>
      </c>
      <c r="I31" s="32">
        <f t="shared" si="1"/>
        <v>0.52307692307692311</v>
      </c>
      <c r="J31" s="17" t="s">
        <v>262</v>
      </c>
      <c r="K31" s="19" t="s">
        <v>260</v>
      </c>
      <c r="L31" s="20" t="s">
        <v>255</v>
      </c>
    </row>
    <row r="32" spans="1:12" ht="42" customHeight="1" x14ac:dyDescent="0.2">
      <c r="A32" s="17">
        <v>31</v>
      </c>
      <c r="B32" s="17" t="s">
        <v>299</v>
      </c>
      <c r="C32" s="17" t="s">
        <v>121</v>
      </c>
      <c r="D32" s="18" t="s">
        <v>245</v>
      </c>
      <c r="E32" s="17">
        <v>39</v>
      </c>
      <c r="F32" s="17">
        <v>6</v>
      </c>
      <c r="G32" s="17">
        <f t="shared" si="0"/>
        <v>45</v>
      </c>
      <c r="H32" s="17">
        <v>76</v>
      </c>
      <c r="I32" s="32">
        <f t="shared" si="1"/>
        <v>0.3247863247863248</v>
      </c>
      <c r="J32" s="17" t="s">
        <v>262</v>
      </c>
      <c r="K32" s="19" t="s">
        <v>145</v>
      </c>
      <c r="L32" s="30" t="s">
        <v>146</v>
      </c>
    </row>
    <row r="33" spans="1:12" ht="42" customHeight="1" x14ac:dyDescent="0.2">
      <c r="A33" s="17">
        <v>32</v>
      </c>
      <c r="B33" s="17" t="s">
        <v>300</v>
      </c>
      <c r="C33" s="17" t="s">
        <v>121</v>
      </c>
      <c r="D33" s="18" t="s">
        <v>245</v>
      </c>
      <c r="E33" s="17">
        <v>24</v>
      </c>
      <c r="F33" s="17">
        <v>6</v>
      </c>
      <c r="G33" s="17">
        <f t="shared" si="0"/>
        <v>30</v>
      </c>
      <c r="H33" s="17">
        <v>57</v>
      </c>
      <c r="I33" s="32">
        <f t="shared" si="1"/>
        <v>0.39583333333333331</v>
      </c>
      <c r="J33" s="17" t="s">
        <v>262</v>
      </c>
      <c r="K33" s="19" t="s">
        <v>147</v>
      </c>
      <c r="L33" s="20" t="s">
        <v>146</v>
      </c>
    </row>
    <row r="34" spans="1:12" ht="42" customHeight="1" x14ac:dyDescent="0.2">
      <c r="A34" s="17">
        <v>33</v>
      </c>
      <c r="B34" s="17" t="s">
        <v>301</v>
      </c>
      <c r="C34" s="17" t="s">
        <v>121</v>
      </c>
      <c r="D34" s="18" t="s">
        <v>246</v>
      </c>
      <c r="E34" s="17">
        <v>15</v>
      </c>
      <c r="F34" s="17">
        <v>9</v>
      </c>
      <c r="G34" s="17">
        <f t="shared" ref="G34:G80" si="2">E34+F34</f>
        <v>24</v>
      </c>
      <c r="H34" s="17">
        <v>59</v>
      </c>
      <c r="I34" s="32">
        <f>H34/(E34*F34)</f>
        <v>0.43703703703703706</v>
      </c>
      <c r="J34" s="17" t="s">
        <v>263</v>
      </c>
      <c r="K34" s="19" t="s">
        <v>260</v>
      </c>
      <c r="L34" s="20" t="s">
        <v>148</v>
      </c>
    </row>
    <row r="35" spans="1:12" ht="42" customHeight="1" x14ac:dyDescent="0.2">
      <c r="A35" s="17">
        <v>34</v>
      </c>
      <c r="B35" s="17" t="s">
        <v>302</v>
      </c>
      <c r="C35" s="17" t="s">
        <v>121</v>
      </c>
      <c r="D35" s="18" t="s">
        <v>247</v>
      </c>
      <c r="E35" s="17">
        <v>26</v>
      </c>
      <c r="F35" s="17">
        <v>11</v>
      </c>
      <c r="G35" s="17">
        <f t="shared" si="2"/>
        <v>37</v>
      </c>
      <c r="H35" s="17">
        <v>72</v>
      </c>
      <c r="I35" s="32">
        <f>H35/(E35*F35)</f>
        <v>0.25174825174825177</v>
      </c>
      <c r="J35" s="17" t="s">
        <v>262</v>
      </c>
      <c r="K35" s="19" t="s">
        <v>260</v>
      </c>
      <c r="L35" s="20" t="s">
        <v>144</v>
      </c>
    </row>
    <row r="36" spans="1:12" ht="42" customHeight="1" x14ac:dyDescent="0.2">
      <c r="A36" s="17">
        <v>35</v>
      </c>
      <c r="B36" s="17" t="s">
        <v>303</v>
      </c>
      <c r="C36" s="17" t="s">
        <v>121</v>
      </c>
      <c r="D36" s="18" t="s">
        <v>248</v>
      </c>
      <c r="E36" s="17">
        <v>26</v>
      </c>
      <c r="F36" s="17">
        <v>9</v>
      </c>
      <c r="G36" s="17">
        <f t="shared" si="2"/>
        <v>35</v>
      </c>
      <c r="H36" s="17">
        <v>72</v>
      </c>
      <c r="I36" s="32">
        <f>H36/(E36*F36)</f>
        <v>0.30769230769230771</v>
      </c>
      <c r="J36" s="17" t="s">
        <v>262</v>
      </c>
      <c r="K36" s="19" t="s">
        <v>149</v>
      </c>
      <c r="L36" s="20" t="s">
        <v>150</v>
      </c>
    </row>
    <row r="37" spans="1:12" ht="42" customHeight="1" x14ac:dyDescent="0.2">
      <c r="A37" s="17">
        <v>36</v>
      </c>
      <c r="B37" s="17" t="s">
        <v>304</v>
      </c>
      <c r="C37" s="17" t="s">
        <v>121</v>
      </c>
      <c r="D37" s="18" t="s">
        <v>248</v>
      </c>
      <c r="E37" s="17">
        <v>28</v>
      </c>
      <c r="F37" s="17">
        <v>10</v>
      </c>
      <c r="G37" s="17">
        <f t="shared" si="2"/>
        <v>38</v>
      </c>
      <c r="H37" s="17">
        <v>84</v>
      </c>
      <c r="I37" s="32">
        <f>H37/(E37*F37)</f>
        <v>0.3</v>
      </c>
      <c r="J37" s="17" t="s">
        <v>262</v>
      </c>
      <c r="K37" s="19" t="s">
        <v>151</v>
      </c>
      <c r="L37" s="20" t="s">
        <v>150</v>
      </c>
    </row>
    <row r="38" spans="1:12" ht="42" customHeight="1" x14ac:dyDescent="0.2">
      <c r="A38" s="17">
        <v>37</v>
      </c>
      <c r="B38" s="17" t="s">
        <v>305</v>
      </c>
      <c r="C38" s="17" t="s">
        <v>121</v>
      </c>
      <c r="D38" s="18" t="s">
        <v>248</v>
      </c>
      <c r="E38" s="17">
        <v>54</v>
      </c>
      <c r="F38" s="17">
        <v>10</v>
      </c>
      <c r="G38" s="17">
        <f t="shared" si="2"/>
        <v>64</v>
      </c>
      <c r="H38" s="17">
        <v>112</v>
      </c>
      <c r="I38" s="32">
        <f>H38/(E38*F38)</f>
        <v>0.2074074074074074</v>
      </c>
      <c r="J38" s="17" t="s">
        <v>262</v>
      </c>
      <c r="K38" s="19" t="s">
        <v>152</v>
      </c>
      <c r="L38" s="20" t="s">
        <v>150</v>
      </c>
    </row>
    <row r="39" spans="1:12" ht="42" customHeight="1" x14ac:dyDescent="0.2">
      <c r="A39" s="17">
        <v>38</v>
      </c>
      <c r="B39" s="17" t="s">
        <v>306</v>
      </c>
      <c r="C39" s="17" t="s">
        <v>121</v>
      </c>
      <c r="D39" s="18" t="s">
        <v>248</v>
      </c>
      <c r="E39" s="17">
        <v>35</v>
      </c>
      <c r="F39" s="17">
        <v>8</v>
      </c>
      <c r="G39" s="17">
        <f t="shared" si="2"/>
        <v>43</v>
      </c>
      <c r="H39" s="17">
        <v>61</v>
      </c>
      <c r="I39" s="32">
        <f t="shared" ref="I39:I54" si="3">H39/(E39*F39)</f>
        <v>0.21785714285714286</v>
      </c>
      <c r="J39" s="17" t="s">
        <v>262</v>
      </c>
      <c r="K39" s="19" t="s">
        <v>256</v>
      </c>
      <c r="L39" s="20" t="s">
        <v>150</v>
      </c>
    </row>
    <row r="40" spans="1:12" ht="42" customHeight="1" x14ac:dyDescent="0.2">
      <c r="A40" s="17">
        <v>39</v>
      </c>
      <c r="B40" s="17" t="s">
        <v>307</v>
      </c>
      <c r="C40" s="17" t="s">
        <v>121</v>
      </c>
      <c r="D40" s="18" t="s">
        <v>248</v>
      </c>
      <c r="E40" s="17">
        <v>29</v>
      </c>
      <c r="F40" s="17">
        <v>9</v>
      </c>
      <c r="G40" s="17">
        <f t="shared" si="2"/>
        <v>38</v>
      </c>
      <c r="H40" s="17">
        <v>99</v>
      </c>
      <c r="I40" s="32">
        <f t="shared" si="3"/>
        <v>0.37931034482758619</v>
      </c>
      <c r="J40" s="17" t="s">
        <v>262</v>
      </c>
      <c r="K40" s="19" t="s">
        <v>257</v>
      </c>
      <c r="L40" s="20" t="s">
        <v>150</v>
      </c>
    </row>
    <row r="41" spans="1:12" ht="42" customHeight="1" x14ac:dyDescent="0.2">
      <c r="A41" s="17">
        <v>40</v>
      </c>
      <c r="B41" s="17" t="s">
        <v>308</v>
      </c>
      <c r="C41" s="17" t="s">
        <v>121</v>
      </c>
      <c r="D41" s="18" t="s">
        <v>249</v>
      </c>
      <c r="E41" s="17">
        <v>26</v>
      </c>
      <c r="F41" s="17">
        <v>16</v>
      </c>
      <c r="G41" s="17">
        <f t="shared" si="2"/>
        <v>42</v>
      </c>
      <c r="H41" s="17">
        <v>93</v>
      </c>
      <c r="I41" s="32">
        <f t="shared" si="3"/>
        <v>0.22355769230769232</v>
      </c>
      <c r="J41" s="17" t="s">
        <v>263</v>
      </c>
      <c r="K41" s="19" t="s">
        <v>260</v>
      </c>
      <c r="L41" s="20" t="s">
        <v>153</v>
      </c>
    </row>
    <row r="42" spans="1:12" ht="42" customHeight="1" x14ac:dyDescent="0.2">
      <c r="A42" s="17">
        <v>41</v>
      </c>
      <c r="B42" s="17" t="s">
        <v>309</v>
      </c>
      <c r="C42" s="17" t="s">
        <v>121</v>
      </c>
      <c r="D42" s="18" t="s">
        <v>250</v>
      </c>
      <c r="E42" s="17">
        <v>10</v>
      </c>
      <c r="F42" s="17">
        <v>16</v>
      </c>
      <c r="G42" s="17">
        <f t="shared" si="2"/>
        <v>26</v>
      </c>
      <c r="H42" s="17">
        <v>72</v>
      </c>
      <c r="I42" s="32">
        <f t="shared" si="3"/>
        <v>0.45</v>
      </c>
      <c r="J42" s="17" t="s">
        <v>262</v>
      </c>
      <c r="K42" s="19" t="s">
        <v>122</v>
      </c>
      <c r="L42" s="20" t="s">
        <v>154</v>
      </c>
    </row>
    <row r="43" spans="1:12" ht="42" customHeight="1" x14ac:dyDescent="0.2">
      <c r="A43" s="17">
        <v>42</v>
      </c>
      <c r="B43" s="17" t="s">
        <v>310</v>
      </c>
      <c r="C43" s="17" t="s">
        <v>121</v>
      </c>
      <c r="D43" s="18" t="s">
        <v>250</v>
      </c>
      <c r="E43" s="17">
        <v>9</v>
      </c>
      <c r="F43" s="17">
        <v>12</v>
      </c>
      <c r="G43" s="17">
        <f t="shared" si="2"/>
        <v>21</v>
      </c>
      <c r="H43" s="17">
        <v>41</v>
      </c>
      <c r="I43" s="32">
        <f t="shared" si="3"/>
        <v>0.37962962962962965</v>
      </c>
      <c r="J43" s="17" t="s">
        <v>262</v>
      </c>
      <c r="K43" s="19" t="s">
        <v>124</v>
      </c>
      <c r="L43" s="20" t="s">
        <v>154</v>
      </c>
    </row>
    <row r="44" spans="1:12" ht="42" customHeight="1" x14ac:dyDescent="0.2">
      <c r="A44" s="17">
        <v>43</v>
      </c>
      <c r="B44" s="17" t="s">
        <v>311</v>
      </c>
      <c r="C44" s="17" t="s">
        <v>121</v>
      </c>
      <c r="D44" s="18" t="s">
        <v>251</v>
      </c>
      <c r="E44" s="17">
        <v>24</v>
      </c>
      <c r="F44" s="17">
        <v>43</v>
      </c>
      <c r="G44" s="17">
        <f t="shared" si="2"/>
        <v>67</v>
      </c>
      <c r="H44" s="17">
        <v>127</v>
      </c>
      <c r="I44" s="32">
        <f t="shared" si="3"/>
        <v>0.12306201550387597</v>
      </c>
      <c r="J44" s="17" t="s">
        <v>263</v>
      </c>
      <c r="K44" s="19" t="s">
        <v>260</v>
      </c>
      <c r="L44" s="20" t="s">
        <v>155</v>
      </c>
    </row>
    <row r="45" spans="1:12" ht="42" customHeight="1" x14ac:dyDescent="0.2">
      <c r="A45" s="17">
        <v>44</v>
      </c>
      <c r="B45" s="17" t="s">
        <v>312</v>
      </c>
      <c r="C45" s="17" t="s">
        <v>121</v>
      </c>
      <c r="D45" s="18" t="s">
        <v>252</v>
      </c>
      <c r="E45" s="17">
        <v>19</v>
      </c>
      <c r="F45" s="17">
        <v>14</v>
      </c>
      <c r="G45" s="17">
        <f t="shared" si="2"/>
        <v>33</v>
      </c>
      <c r="H45" s="17">
        <v>62</v>
      </c>
      <c r="I45" s="32">
        <f t="shared" si="3"/>
        <v>0.23308270676691728</v>
      </c>
      <c r="J45" s="17" t="s">
        <v>262</v>
      </c>
      <c r="K45" s="19" t="s">
        <v>260</v>
      </c>
      <c r="L45" s="20" t="s">
        <v>154</v>
      </c>
    </row>
    <row r="46" spans="1:12" ht="42" customHeight="1" x14ac:dyDescent="0.2">
      <c r="A46" s="17">
        <v>45</v>
      </c>
      <c r="B46" s="17" t="s">
        <v>313</v>
      </c>
      <c r="C46" s="17" t="s">
        <v>121</v>
      </c>
      <c r="D46" s="18" t="s">
        <v>259</v>
      </c>
      <c r="E46" s="17">
        <v>22</v>
      </c>
      <c r="F46" s="17">
        <v>12</v>
      </c>
      <c r="G46" s="17">
        <f t="shared" si="2"/>
        <v>34</v>
      </c>
      <c r="H46" s="17">
        <v>62</v>
      </c>
      <c r="I46" s="32">
        <f t="shared" si="3"/>
        <v>0.23484848484848486</v>
      </c>
      <c r="J46" s="17" t="s">
        <v>263</v>
      </c>
      <c r="K46" s="19" t="s">
        <v>260</v>
      </c>
      <c r="L46" s="30" t="s">
        <v>156</v>
      </c>
    </row>
    <row r="47" spans="1:12" ht="42" customHeight="1" x14ac:dyDescent="0.2">
      <c r="A47" s="17">
        <v>46</v>
      </c>
      <c r="B47" s="17" t="s">
        <v>314</v>
      </c>
      <c r="C47" s="17" t="s">
        <v>121</v>
      </c>
      <c r="D47" s="18" t="s">
        <v>258</v>
      </c>
      <c r="E47" s="17">
        <v>20</v>
      </c>
      <c r="F47" s="17">
        <v>13</v>
      </c>
      <c r="G47" s="17">
        <f t="shared" si="2"/>
        <v>33</v>
      </c>
      <c r="H47" s="17">
        <v>57</v>
      </c>
      <c r="I47" s="32">
        <f t="shared" si="3"/>
        <v>0.21923076923076923</v>
      </c>
      <c r="J47" s="17" t="s">
        <v>262</v>
      </c>
      <c r="K47" s="19" t="s">
        <v>260</v>
      </c>
      <c r="L47" s="20" t="s">
        <v>156</v>
      </c>
    </row>
    <row r="48" spans="1:12" ht="59" customHeight="1" x14ac:dyDescent="0.2">
      <c r="A48" s="21">
        <v>47</v>
      </c>
      <c r="B48" s="21" t="s">
        <v>383</v>
      </c>
      <c r="C48" s="21" t="s">
        <v>157</v>
      </c>
      <c r="D48" s="22" t="s">
        <v>260</v>
      </c>
      <c r="E48" s="21">
        <v>77</v>
      </c>
      <c r="F48" s="21">
        <v>68</v>
      </c>
      <c r="G48" s="21">
        <v>145</v>
      </c>
      <c r="H48" s="21">
        <v>203</v>
      </c>
      <c r="I48" s="27">
        <f t="shared" si="3"/>
        <v>3.8770053475935831E-2</v>
      </c>
      <c r="J48" s="21" t="s">
        <v>262</v>
      </c>
      <c r="K48" s="23" t="s">
        <v>260</v>
      </c>
      <c r="L48" s="26" t="s">
        <v>384</v>
      </c>
    </row>
    <row r="49" spans="1:12" ht="42" customHeight="1" x14ac:dyDescent="0.2">
      <c r="A49" s="21">
        <v>48</v>
      </c>
      <c r="B49" s="21" t="s">
        <v>266</v>
      </c>
      <c r="C49" s="21" t="s">
        <v>157</v>
      </c>
      <c r="D49" s="22" t="s">
        <v>260</v>
      </c>
      <c r="E49" s="21">
        <v>25</v>
      </c>
      <c r="F49" s="21">
        <v>36</v>
      </c>
      <c r="G49" s="21">
        <f t="shared" si="2"/>
        <v>61</v>
      </c>
      <c r="H49" s="21">
        <v>253</v>
      </c>
      <c r="I49" s="27">
        <f t="shared" si="3"/>
        <v>0.28111111111111109</v>
      </c>
      <c r="J49" s="21" t="s">
        <v>262</v>
      </c>
      <c r="K49" s="23" t="s">
        <v>397</v>
      </c>
      <c r="L49" s="24" t="s">
        <v>158</v>
      </c>
    </row>
    <row r="50" spans="1:12" ht="40" customHeight="1" x14ac:dyDescent="0.2">
      <c r="A50" s="21">
        <v>54</v>
      </c>
      <c r="B50" s="21" t="s">
        <v>267</v>
      </c>
      <c r="C50" s="21" t="s">
        <v>157</v>
      </c>
      <c r="D50" s="22" t="s">
        <v>260</v>
      </c>
      <c r="E50" s="21">
        <v>29</v>
      </c>
      <c r="F50" s="21">
        <v>78</v>
      </c>
      <c r="G50" s="21">
        <v>107</v>
      </c>
      <c r="H50" s="21">
        <v>479</v>
      </c>
      <c r="I50" s="27">
        <f>H50/(E50*F50)</f>
        <v>0.21175950486295314</v>
      </c>
      <c r="J50" s="21" t="s">
        <v>262</v>
      </c>
      <c r="K50" s="23" t="s">
        <v>320</v>
      </c>
      <c r="L50" s="24" t="s">
        <v>154</v>
      </c>
    </row>
    <row r="51" spans="1:12" ht="42" customHeight="1" x14ac:dyDescent="0.2">
      <c r="A51" s="21">
        <v>50</v>
      </c>
      <c r="B51" s="21" t="s">
        <v>388</v>
      </c>
      <c r="C51" s="21" t="s">
        <v>157</v>
      </c>
      <c r="D51" s="22" t="s">
        <v>260</v>
      </c>
      <c r="E51" s="21">
        <v>16</v>
      </c>
      <c r="F51" s="21">
        <v>44</v>
      </c>
      <c r="G51" s="21">
        <f t="shared" si="2"/>
        <v>60</v>
      </c>
      <c r="H51" s="21">
        <v>201</v>
      </c>
      <c r="I51" s="27">
        <f t="shared" si="3"/>
        <v>0.28551136363636365</v>
      </c>
      <c r="J51" s="21" t="s">
        <v>262</v>
      </c>
      <c r="K51" s="23" t="s">
        <v>393</v>
      </c>
      <c r="L51" s="24" t="s">
        <v>398</v>
      </c>
    </row>
    <row r="52" spans="1:12" ht="42" customHeight="1" x14ac:dyDescent="0.2">
      <c r="A52" s="21">
        <v>51</v>
      </c>
      <c r="B52" s="21" t="s">
        <v>389</v>
      </c>
      <c r="C52" s="21" t="s">
        <v>157</v>
      </c>
      <c r="D52" s="22" t="s">
        <v>260</v>
      </c>
      <c r="E52" s="21">
        <v>13</v>
      </c>
      <c r="F52" s="21">
        <v>23</v>
      </c>
      <c r="G52" s="21">
        <v>36</v>
      </c>
      <c r="H52" s="21">
        <v>86</v>
      </c>
      <c r="I52" s="27">
        <f>H52/(E52*F52)</f>
        <v>0.28762541806020064</v>
      </c>
      <c r="J52" s="21" t="s">
        <v>262</v>
      </c>
      <c r="K52" s="23" t="s">
        <v>318</v>
      </c>
      <c r="L52" s="24" t="s">
        <v>154</v>
      </c>
    </row>
    <row r="53" spans="1:12" ht="40" customHeight="1" x14ac:dyDescent="0.2">
      <c r="A53" s="21">
        <v>52</v>
      </c>
      <c r="B53" s="21" t="s">
        <v>390</v>
      </c>
      <c r="C53" s="21" t="s">
        <v>157</v>
      </c>
      <c r="D53" s="22" t="s">
        <v>260</v>
      </c>
      <c r="E53" s="21">
        <v>6</v>
      </c>
      <c r="F53" s="21">
        <v>9</v>
      </c>
      <c r="G53" s="21">
        <v>15</v>
      </c>
      <c r="H53" s="21">
        <v>19</v>
      </c>
      <c r="I53" s="27">
        <f>H53/(E53*F53)</f>
        <v>0.35185185185185186</v>
      </c>
      <c r="J53" s="21" t="s">
        <v>262</v>
      </c>
      <c r="K53" s="23" t="s">
        <v>317</v>
      </c>
      <c r="L53" s="24" t="s">
        <v>154</v>
      </c>
    </row>
    <row r="54" spans="1:12" ht="40" customHeight="1" x14ac:dyDescent="0.2">
      <c r="A54" s="21">
        <v>53</v>
      </c>
      <c r="B54" s="21" t="s">
        <v>391</v>
      </c>
      <c r="C54" s="21" t="s">
        <v>157</v>
      </c>
      <c r="D54" s="22" t="s">
        <v>260</v>
      </c>
      <c r="E54" s="21">
        <v>6</v>
      </c>
      <c r="F54" s="21">
        <v>18</v>
      </c>
      <c r="G54" s="21">
        <v>24</v>
      </c>
      <c r="H54" s="21">
        <v>27</v>
      </c>
      <c r="I54" s="27">
        <f t="shared" si="3"/>
        <v>0.25</v>
      </c>
      <c r="J54" s="21" t="s">
        <v>262</v>
      </c>
      <c r="K54" s="23" t="s">
        <v>392</v>
      </c>
      <c r="L54" s="24" t="s">
        <v>154</v>
      </c>
    </row>
    <row r="55" spans="1:12" ht="42" customHeight="1" x14ac:dyDescent="0.2">
      <c r="A55" s="21">
        <v>54</v>
      </c>
      <c r="B55" s="21" t="s">
        <v>268</v>
      </c>
      <c r="C55" s="21" t="s">
        <v>157</v>
      </c>
      <c r="D55" s="22" t="s">
        <v>260</v>
      </c>
      <c r="E55" s="21">
        <v>17</v>
      </c>
      <c r="F55" s="21">
        <v>29</v>
      </c>
      <c r="G55" s="21">
        <f>E55+F55</f>
        <v>46</v>
      </c>
      <c r="H55" s="21">
        <v>147</v>
      </c>
      <c r="I55" s="27">
        <f>H55/(E55*F55)</f>
        <v>0.29817444219066935</v>
      </c>
      <c r="J55" s="21" t="s">
        <v>262</v>
      </c>
      <c r="K55" s="23" t="s">
        <v>396</v>
      </c>
      <c r="L55" s="24" t="s">
        <v>159</v>
      </c>
    </row>
    <row r="56" spans="1:12" ht="42" customHeight="1" x14ac:dyDescent="0.2">
      <c r="A56" s="21">
        <v>55</v>
      </c>
      <c r="B56" s="21" t="s">
        <v>399</v>
      </c>
      <c r="C56" s="21" t="s">
        <v>157</v>
      </c>
      <c r="D56" s="22" t="s">
        <v>260</v>
      </c>
      <c r="E56" s="21">
        <v>3</v>
      </c>
      <c r="F56" s="21">
        <v>6</v>
      </c>
      <c r="G56" s="21">
        <v>9</v>
      </c>
      <c r="H56" s="21">
        <v>11</v>
      </c>
      <c r="I56" s="27">
        <f>H56/(E56*F56)</f>
        <v>0.61111111111111116</v>
      </c>
      <c r="J56" s="21" t="s">
        <v>262</v>
      </c>
      <c r="K56" s="29" t="s">
        <v>403</v>
      </c>
      <c r="L56" s="25" t="s">
        <v>407</v>
      </c>
    </row>
    <row r="57" spans="1:12" ht="42" customHeight="1" x14ac:dyDescent="0.2">
      <c r="A57" s="21">
        <v>56</v>
      </c>
      <c r="B57" s="21" t="s">
        <v>400</v>
      </c>
      <c r="C57" s="21" t="s">
        <v>157</v>
      </c>
      <c r="D57" s="22" t="s">
        <v>260</v>
      </c>
      <c r="E57" s="21">
        <v>5</v>
      </c>
      <c r="F57" s="21">
        <v>6</v>
      </c>
      <c r="G57" s="21">
        <v>11</v>
      </c>
      <c r="H57" s="21">
        <v>17</v>
      </c>
      <c r="I57" s="27">
        <f>H57/(E57*F57)</f>
        <v>0.56666666666666665</v>
      </c>
      <c r="J57" s="21" t="s">
        <v>262</v>
      </c>
      <c r="K57" s="29" t="s">
        <v>404</v>
      </c>
      <c r="L57" s="25" t="s">
        <v>407</v>
      </c>
    </row>
    <row r="58" spans="1:12" ht="42" customHeight="1" x14ac:dyDescent="0.2">
      <c r="A58" s="21">
        <v>57</v>
      </c>
      <c r="B58" s="21" t="s">
        <v>401</v>
      </c>
      <c r="C58" s="21" t="s">
        <v>157</v>
      </c>
      <c r="D58" s="22" t="s">
        <v>260</v>
      </c>
      <c r="E58" s="21">
        <v>5</v>
      </c>
      <c r="F58" s="21">
        <v>6</v>
      </c>
      <c r="G58" s="21">
        <v>11</v>
      </c>
      <c r="H58" s="21">
        <v>18</v>
      </c>
      <c r="I58" s="27">
        <f>H58/(E58*F58)</f>
        <v>0.6</v>
      </c>
      <c r="J58" s="21" t="s">
        <v>262</v>
      </c>
      <c r="K58" s="29" t="s">
        <v>405</v>
      </c>
      <c r="L58" s="25" t="s">
        <v>407</v>
      </c>
    </row>
    <row r="59" spans="1:12" s="28" customFormat="1" ht="42" customHeight="1" x14ac:dyDescent="0.2">
      <c r="A59" s="21">
        <v>58</v>
      </c>
      <c r="B59" s="21" t="s">
        <v>402</v>
      </c>
      <c r="C59" s="21" t="s">
        <v>157</v>
      </c>
      <c r="D59" s="22" t="s">
        <v>260</v>
      </c>
      <c r="E59" s="21">
        <v>9</v>
      </c>
      <c r="F59" s="21">
        <v>6</v>
      </c>
      <c r="G59" s="21">
        <v>15</v>
      </c>
      <c r="H59" s="21">
        <v>36</v>
      </c>
      <c r="I59" s="27">
        <f>H59/(E59*F59)</f>
        <v>0.66666666666666663</v>
      </c>
      <c r="J59" s="21" t="s">
        <v>262</v>
      </c>
      <c r="K59" s="29" t="s">
        <v>406</v>
      </c>
      <c r="L59" s="25" t="s">
        <v>407</v>
      </c>
    </row>
    <row r="60" spans="1:12" ht="40" customHeight="1" x14ac:dyDescent="0.2">
      <c r="A60" s="21">
        <v>59</v>
      </c>
      <c r="B60" s="21" t="s">
        <v>321</v>
      </c>
      <c r="C60" s="21" t="s">
        <v>157</v>
      </c>
      <c r="D60" s="22" t="s">
        <v>260</v>
      </c>
      <c r="E60" s="21">
        <v>25</v>
      </c>
      <c r="F60" s="21">
        <v>61</v>
      </c>
      <c r="G60" s="21">
        <v>86</v>
      </c>
      <c r="H60" s="21">
        <v>536</v>
      </c>
      <c r="I60" s="27">
        <f t="shared" ref="I60:I75" si="4">H60/(E60*F60)</f>
        <v>0.35147540983606557</v>
      </c>
      <c r="J60" s="21" t="s">
        <v>263</v>
      </c>
      <c r="K60" s="23" t="s">
        <v>322</v>
      </c>
      <c r="L60" s="25" t="s">
        <v>11</v>
      </c>
    </row>
    <row r="61" spans="1:12" ht="52" customHeight="1" x14ac:dyDescent="0.2">
      <c r="A61" s="21">
        <v>60</v>
      </c>
      <c r="B61" s="21" t="s">
        <v>323</v>
      </c>
      <c r="C61" s="21" t="s">
        <v>157</v>
      </c>
      <c r="D61" s="22" t="s">
        <v>260</v>
      </c>
      <c r="E61" s="21">
        <v>207</v>
      </c>
      <c r="F61" s="21">
        <v>110</v>
      </c>
      <c r="G61" s="21">
        <v>317</v>
      </c>
      <c r="H61" s="21">
        <v>1329</v>
      </c>
      <c r="I61" s="27">
        <f t="shared" si="4"/>
        <v>5.8366271409749669E-2</v>
      </c>
      <c r="J61" s="21" t="s">
        <v>263</v>
      </c>
      <c r="K61" s="23" t="s">
        <v>324</v>
      </c>
      <c r="L61" s="25" t="s">
        <v>326</v>
      </c>
    </row>
    <row r="62" spans="1:12" ht="40" customHeight="1" x14ac:dyDescent="0.2">
      <c r="A62" s="21">
        <v>61</v>
      </c>
      <c r="B62" s="21" t="s">
        <v>327</v>
      </c>
      <c r="C62" s="21" t="s">
        <v>157</v>
      </c>
      <c r="D62" s="22" t="s">
        <v>260</v>
      </c>
      <c r="E62" s="21">
        <v>171</v>
      </c>
      <c r="F62" s="21">
        <v>40</v>
      </c>
      <c r="G62" s="21">
        <v>211</v>
      </c>
      <c r="H62" s="21">
        <v>877</v>
      </c>
      <c r="I62" s="27">
        <f t="shared" si="4"/>
        <v>0.12821637426900584</v>
      </c>
      <c r="J62" s="21" t="s">
        <v>263</v>
      </c>
      <c r="K62" s="23" t="s">
        <v>328</v>
      </c>
      <c r="L62" s="25" t="s">
        <v>329</v>
      </c>
    </row>
    <row r="63" spans="1:12" ht="40" customHeight="1" x14ac:dyDescent="0.2">
      <c r="A63" s="21">
        <v>62</v>
      </c>
      <c r="B63" s="21" t="s">
        <v>315</v>
      </c>
      <c r="C63" s="21" t="s">
        <v>157</v>
      </c>
      <c r="D63" s="22" t="s">
        <v>260</v>
      </c>
      <c r="E63" s="21">
        <v>31</v>
      </c>
      <c r="F63" s="21">
        <v>9</v>
      </c>
      <c r="G63" s="21">
        <f t="shared" si="2"/>
        <v>40</v>
      </c>
      <c r="H63" s="21">
        <v>119</v>
      </c>
      <c r="I63" s="27">
        <f t="shared" si="4"/>
        <v>0.4265232974910394</v>
      </c>
      <c r="J63" s="21" t="s">
        <v>263</v>
      </c>
      <c r="K63" s="23" t="s">
        <v>260</v>
      </c>
      <c r="L63" s="24" t="s">
        <v>160</v>
      </c>
    </row>
    <row r="64" spans="1:12" ht="40" customHeight="1" x14ac:dyDescent="0.2">
      <c r="A64" s="21">
        <v>63</v>
      </c>
      <c r="B64" s="21" t="s">
        <v>316</v>
      </c>
      <c r="C64" s="21" t="s">
        <v>157</v>
      </c>
      <c r="D64" s="22" t="s">
        <v>260</v>
      </c>
      <c r="E64" s="21">
        <v>7</v>
      </c>
      <c r="F64" s="21">
        <v>6</v>
      </c>
      <c r="G64" s="21">
        <v>13</v>
      </c>
      <c r="H64" s="21">
        <v>29</v>
      </c>
      <c r="I64" s="27">
        <f t="shared" si="4"/>
        <v>0.69047619047619047</v>
      </c>
      <c r="J64" s="21" t="s">
        <v>262</v>
      </c>
      <c r="K64" s="23" t="s">
        <v>260</v>
      </c>
      <c r="L64" s="25" t="s">
        <v>325</v>
      </c>
    </row>
    <row r="65" spans="1:12" ht="40" customHeight="1" x14ac:dyDescent="0.2">
      <c r="A65" s="21">
        <v>64</v>
      </c>
      <c r="B65" s="21" t="s">
        <v>319</v>
      </c>
      <c r="C65" s="21" t="s">
        <v>157</v>
      </c>
      <c r="D65" s="22" t="s">
        <v>260</v>
      </c>
      <c r="E65" s="21">
        <v>16</v>
      </c>
      <c r="F65" s="21">
        <v>10</v>
      </c>
      <c r="G65" s="21">
        <f t="shared" si="2"/>
        <v>26</v>
      </c>
      <c r="H65" s="21">
        <v>126</v>
      </c>
      <c r="I65" s="27">
        <f t="shared" si="4"/>
        <v>0.78749999999999998</v>
      </c>
      <c r="J65" s="21" t="s">
        <v>263</v>
      </c>
      <c r="K65" s="23" t="s">
        <v>260</v>
      </c>
      <c r="L65" s="24" t="s">
        <v>161</v>
      </c>
    </row>
    <row r="66" spans="1:12" ht="40" customHeight="1" x14ac:dyDescent="0.2">
      <c r="A66" s="21">
        <v>65</v>
      </c>
      <c r="B66" s="21" t="s">
        <v>330</v>
      </c>
      <c r="C66" s="21" t="s">
        <v>157</v>
      </c>
      <c r="D66" s="22" t="s">
        <v>260</v>
      </c>
      <c r="E66" s="21">
        <v>12</v>
      </c>
      <c r="F66" s="21">
        <v>7</v>
      </c>
      <c r="G66" s="21">
        <f t="shared" si="2"/>
        <v>19</v>
      </c>
      <c r="H66" s="21">
        <v>52</v>
      </c>
      <c r="I66" s="27">
        <f t="shared" si="4"/>
        <v>0.61904761904761907</v>
      </c>
      <c r="J66" s="21" t="s">
        <v>262</v>
      </c>
      <c r="K66" s="23" t="s">
        <v>260</v>
      </c>
      <c r="L66" s="24" t="s">
        <v>162</v>
      </c>
    </row>
    <row r="67" spans="1:12" ht="40" customHeight="1" x14ac:dyDescent="0.2">
      <c r="A67" s="21">
        <v>66</v>
      </c>
      <c r="B67" s="21" t="s">
        <v>331</v>
      </c>
      <c r="C67" s="21" t="s">
        <v>157</v>
      </c>
      <c r="D67" s="22" t="s">
        <v>260</v>
      </c>
      <c r="E67" s="21">
        <v>35</v>
      </c>
      <c r="F67" s="21">
        <v>29</v>
      </c>
      <c r="G67" s="21">
        <f t="shared" si="2"/>
        <v>64</v>
      </c>
      <c r="H67" s="21">
        <v>181</v>
      </c>
      <c r="I67" s="27">
        <f t="shared" si="4"/>
        <v>0.17832512315270935</v>
      </c>
      <c r="J67" s="21" t="s">
        <v>263</v>
      </c>
      <c r="K67" s="23" t="s">
        <v>260</v>
      </c>
      <c r="L67" s="24" t="s">
        <v>163</v>
      </c>
    </row>
    <row r="68" spans="1:12" ht="40" customHeight="1" x14ac:dyDescent="0.2">
      <c r="A68" s="21">
        <v>67</v>
      </c>
      <c r="B68" s="21" t="s">
        <v>332</v>
      </c>
      <c r="C68" s="21" t="s">
        <v>157</v>
      </c>
      <c r="D68" s="22" t="s">
        <v>260</v>
      </c>
      <c r="E68" s="21">
        <v>5</v>
      </c>
      <c r="F68" s="21">
        <v>27</v>
      </c>
      <c r="G68" s="21">
        <v>32</v>
      </c>
      <c r="H68" s="21">
        <v>91</v>
      </c>
      <c r="I68" s="27">
        <f t="shared" si="4"/>
        <v>0.67407407407407405</v>
      </c>
      <c r="J68" s="21" t="s">
        <v>263</v>
      </c>
      <c r="K68" s="23" t="s">
        <v>260</v>
      </c>
      <c r="L68" s="25" t="s">
        <v>333</v>
      </c>
    </row>
    <row r="69" spans="1:12" ht="40" customHeight="1" x14ac:dyDescent="0.2">
      <c r="A69" s="21">
        <v>68</v>
      </c>
      <c r="B69" s="21" t="s">
        <v>334</v>
      </c>
      <c r="C69" s="21" t="s">
        <v>157</v>
      </c>
      <c r="D69" s="22" t="s">
        <v>260</v>
      </c>
      <c r="E69" s="21">
        <v>11</v>
      </c>
      <c r="F69" s="21">
        <v>14</v>
      </c>
      <c r="G69" s="21">
        <f t="shared" si="2"/>
        <v>25</v>
      </c>
      <c r="H69" s="21">
        <v>47</v>
      </c>
      <c r="I69" s="27">
        <f t="shared" si="4"/>
        <v>0.30519480519480519</v>
      </c>
      <c r="J69" s="21" t="s">
        <v>262</v>
      </c>
      <c r="K69" s="23" t="s">
        <v>260</v>
      </c>
      <c r="L69" s="24" t="s">
        <v>164</v>
      </c>
    </row>
    <row r="70" spans="1:12" ht="40" customHeight="1" x14ac:dyDescent="0.2">
      <c r="A70" s="21">
        <v>69</v>
      </c>
      <c r="B70" s="21" t="s">
        <v>335</v>
      </c>
      <c r="C70" s="21" t="s">
        <v>157</v>
      </c>
      <c r="D70" s="22" t="s">
        <v>260</v>
      </c>
      <c r="E70" s="21">
        <v>17</v>
      </c>
      <c r="F70" s="21">
        <v>8</v>
      </c>
      <c r="G70" s="21">
        <v>26</v>
      </c>
      <c r="H70" s="21">
        <v>84</v>
      </c>
      <c r="I70" s="27">
        <f t="shared" si="4"/>
        <v>0.61764705882352944</v>
      </c>
      <c r="J70" s="21" t="s">
        <v>263</v>
      </c>
      <c r="K70" s="23" t="s">
        <v>260</v>
      </c>
      <c r="L70" s="25" t="s">
        <v>336</v>
      </c>
    </row>
    <row r="71" spans="1:12" ht="40" customHeight="1" x14ac:dyDescent="0.2">
      <c r="A71" s="21">
        <v>70</v>
      </c>
      <c r="B71" s="21" t="s">
        <v>337</v>
      </c>
      <c r="C71" s="21" t="s">
        <v>157</v>
      </c>
      <c r="D71" s="22" t="s">
        <v>260</v>
      </c>
      <c r="E71" s="21">
        <v>27</v>
      </c>
      <c r="F71" s="21">
        <v>8</v>
      </c>
      <c r="G71" s="21">
        <f t="shared" si="2"/>
        <v>35</v>
      </c>
      <c r="H71" s="21">
        <v>65</v>
      </c>
      <c r="I71" s="27">
        <f t="shared" si="4"/>
        <v>0.30092592592592593</v>
      </c>
      <c r="J71" s="21" t="s">
        <v>262</v>
      </c>
      <c r="K71" s="23" t="s">
        <v>260</v>
      </c>
      <c r="L71" s="24" t="s">
        <v>165</v>
      </c>
    </row>
    <row r="72" spans="1:12" ht="40" customHeight="1" x14ac:dyDescent="0.2">
      <c r="A72" s="21">
        <v>71</v>
      </c>
      <c r="B72" s="21" t="s">
        <v>338</v>
      </c>
      <c r="C72" s="21" t="s">
        <v>157</v>
      </c>
      <c r="D72" s="22" t="s">
        <v>260</v>
      </c>
      <c r="E72" s="21">
        <v>71</v>
      </c>
      <c r="F72" s="21">
        <v>7</v>
      </c>
      <c r="G72" s="21">
        <v>79</v>
      </c>
      <c r="H72" s="21">
        <v>214</v>
      </c>
      <c r="I72" s="27">
        <f t="shared" si="4"/>
        <v>0.43058350100603621</v>
      </c>
      <c r="J72" s="21" t="s">
        <v>263</v>
      </c>
      <c r="K72" s="23" t="s">
        <v>260</v>
      </c>
      <c r="L72" s="24" t="s">
        <v>166</v>
      </c>
    </row>
    <row r="73" spans="1:12" ht="40" customHeight="1" x14ac:dyDescent="0.2">
      <c r="A73" s="21">
        <v>72</v>
      </c>
      <c r="B73" s="21" t="s">
        <v>339</v>
      </c>
      <c r="C73" s="21" t="s">
        <v>157</v>
      </c>
      <c r="D73" s="22" t="s">
        <v>260</v>
      </c>
      <c r="E73" s="21">
        <v>50</v>
      </c>
      <c r="F73" s="21">
        <v>14</v>
      </c>
      <c r="G73" s="21">
        <f t="shared" si="2"/>
        <v>64</v>
      </c>
      <c r="H73" s="21">
        <v>284</v>
      </c>
      <c r="I73" s="27">
        <f t="shared" si="4"/>
        <v>0.40571428571428569</v>
      </c>
      <c r="J73" s="21" t="s">
        <v>263</v>
      </c>
      <c r="K73" s="23" t="s">
        <v>260</v>
      </c>
      <c r="L73" s="24" t="s">
        <v>167</v>
      </c>
    </row>
    <row r="74" spans="1:12" ht="40" customHeight="1" x14ac:dyDescent="0.2">
      <c r="A74" s="21">
        <v>73</v>
      </c>
      <c r="B74" s="21" t="s">
        <v>340</v>
      </c>
      <c r="C74" s="21" t="s">
        <v>157</v>
      </c>
      <c r="D74" s="22" t="s">
        <v>260</v>
      </c>
      <c r="E74" s="21">
        <v>7</v>
      </c>
      <c r="F74" s="21">
        <v>21</v>
      </c>
      <c r="G74" s="21">
        <f t="shared" si="2"/>
        <v>28</v>
      </c>
      <c r="H74" s="21">
        <v>57</v>
      </c>
      <c r="I74" s="27">
        <f t="shared" si="4"/>
        <v>0.38775510204081631</v>
      </c>
      <c r="J74" s="21" t="s">
        <v>262</v>
      </c>
      <c r="K74" s="23" t="s">
        <v>260</v>
      </c>
      <c r="L74" s="24" t="s">
        <v>168</v>
      </c>
    </row>
    <row r="75" spans="1:12" ht="40" customHeight="1" x14ac:dyDescent="0.2">
      <c r="A75" s="21">
        <v>74</v>
      </c>
      <c r="B75" s="21" t="s">
        <v>341</v>
      </c>
      <c r="C75" s="21" t="s">
        <v>157</v>
      </c>
      <c r="D75" s="22" t="s">
        <v>260</v>
      </c>
      <c r="E75" s="21">
        <v>41</v>
      </c>
      <c r="F75" s="21">
        <v>5</v>
      </c>
      <c r="G75" s="21">
        <v>46</v>
      </c>
      <c r="H75" s="21">
        <v>89</v>
      </c>
      <c r="I75" s="27">
        <f t="shared" si="4"/>
        <v>0.43414634146341463</v>
      </c>
      <c r="J75" s="21" t="s">
        <v>263</v>
      </c>
      <c r="K75" s="23" t="s">
        <v>260</v>
      </c>
      <c r="L75" s="25" t="s">
        <v>342</v>
      </c>
    </row>
    <row r="76" spans="1:12" ht="40" customHeight="1" x14ac:dyDescent="0.2">
      <c r="A76" s="21">
        <v>75</v>
      </c>
      <c r="B76" s="21" t="s">
        <v>365</v>
      </c>
      <c r="C76" s="21" t="s">
        <v>157</v>
      </c>
      <c r="D76" s="22" t="s">
        <v>260</v>
      </c>
      <c r="E76" s="21">
        <v>15</v>
      </c>
      <c r="F76" s="21">
        <v>49</v>
      </c>
      <c r="G76" s="21">
        <f t="shared" si="2"/>
        <v>64</v>
      </c>
      <c r="H76" s="21">
        <v>158</v>
      </c>
      <c r="I76" s="27">
        <f>H76/(E76*F76)</f>
        <v>0.21496598639455783</v>
      </c>
      <c r="J76" s="21" t="s">
        <v>263</v>
      </c>
      <c r="K76" s="23" t="s">
        <v>260</v>
      </c>
      <c r="L76" s="24" t="s">
        <v>174</v>
      </c>
    </row>
    <row r="77" spans="1:12" ht="40" customHeight="1" x14ac:dyDescent="0.2">
      <c r="A77" s="21">
        <v>76</v>
      </c>
      <c r="B77" s="21" t="s">
        <v>366</v>
      </c>
      <c r="C77" s="21" t="s">
        <v>157</v>
      </c>
      <c r="D77" s="22" t="s">
        <v>260</v>
      </c>
      <c r="E77" s="21">
        <v>22</v>
      </c>
      <c r="F77" s="21">
        <v>13</v>
      </c>
      <c r="G77" s="21">
        <v>35</v>
      </c>
      <c r="H77" s="21">
        <v>123</v>
      </c>
      <c r="I77" s="27">
        <f>H77/(E77*F77)</f>
        <v>0.43006993006993005</v>
      </c>
      <c r="J77" s="21" t="s">
        <v>263</v>
      </c>
      <c r="K77" s="23" t="s">
        <v>260</v>
      </c>
      <c r="L77" s="25" t="s">
        <v>368</v>
      </c>
    </row>
    <row r="78" spans="1:12" ht="40" customHeight="1" x14ac:dyDescent="0.2">
      <c r="A78" s="21">
        <v>77</v>
      </c>
      <c r="B78" s="21" t="s">
        <v>382</v>
      </c>
      <c r="C78" s="21" t="s">
        <v>157</v>
      </c>
      <c r="D78" s="22" t="s">
        <v>260</v>
      </c>
      <c r="E78" s="21">
        <v>45</v>
      </c>
      <c r="F78" s="21">
        <v>46</v>
      </c>
      <c r="G78" s="21">
        <v>91</v>
      </c>
      <c r="H78" s="21">
        <v>318</v>
      </c>
      <c r="I78" s="27">
        <f>H78/(E78*F78)</f>
        <v>0.15362318840579711</v>
      </c>
      <c r="J78" s="21" t="s">
        <v>263</v>
      </c>
      <c r="K78" s="23" t="s">
        <v>260</v>
      </c>
      <c r="L78" s="25" t="s">
        <v>369</v>
      </c>
    </row>
    <row r="79" spans="1:12" ht="40" customHeight="1" x14ac:dyDescent="0.2">
      <c r="A79" s="21">
        <v>78</v>
      </c>
      <c r="B79" s="21" t="s">
        <v>370</v>
      </c>
      <c r="C79" s="21" t="s">
        <v>157</v>
      </c>
      <c r="D79" s="22" t="s">
        <v>260</v>
      </c>
      <c r="E79" s="21">
        <v>314</v>
      </c>
      <c r="F79" s="21">
        <v>132</v>
      </c>
      <c r="G79" s="21">
        <v>446</v>
      </c>
      <c r="H79" s="21">
        <v>1902</v>
      </c>
      <c r="I79" s="27">
        <f>H79/(E79*F79)</f>
        <v>4.5888824551244933E-2</v>
      </c>
      <c r="J79" s="21" t="s">
        <v>263</v>
      </c>
      <c r="K79" s="23" t="s">
        <v>260</v>
      </c>
      <c r="L79" s="25" t="s">
        <v>371</v>
      </c>
    </row>
    <row r="80" spans="1:12" ht="40" customHeight="1" x14ac:dyDescent="0.2">
      <c r="A80" s="21">
        <v>79</v>
      </c>
      <c r="B80" s="21" t="s">
        <v>367</v>
      </c>
      <c r="C80" s="21" t="s">
        <v>157</v>
      </c>
      <c r="D80" s="22" t="s">
        <v>260</v>
      </c>
      <c r="E80" s="21">
        <v>33</v>
      </c>
      <c r="F80" s="21">
        <v>88</v>
      </c>
      <c r="G80" s="21">
        <f t="shared" si="2"/>
        <v>121</v>
      </c>
      <c r="H80" s="21">
        <v>452</v>
      </c>
      <c r="I80" s="27">
        <f t="shared" ref="I80:I107" si="5">H80/(E80*F80)</f>
        <v>0.15564738292011018</v>
      </c>
      <c r="J80" s="21" t="s">
        <v>263</v>
      </c>
      <c r="K80" s="23" t="s">
        <v>260</v>
      </c>
      <c r="L80" s="24" t="s">
        <v>175</v>
      </c>
    </row>
    <row r="81" spans="1:12" ht="40" customHeight="1" x14ac:dyDescent="0.2">
      <c r="A81" s="21">
        <v>80</v>
      </c>
      <c r="B81" s="21" t="s">
        <v>372</v>
      </c>
      <c r="C81" s="21" t="s">
        <v>157</v>
      </c>
      <c r="D81" s="22" t="s">
        <v>260</v>
      </c>
      <c r="E81" s="21">
        <v>49</v>
      </c>
      <c r="F81" s="21">
        <v>16</v>
      </c>
      <c r="G81" s="21">
        <f t="shared" ref="G81:G113" si="6">E81+F81</f>
        <v>65</v>
      </c>
      <c r="H81" s="21">
        <v>180</v>
      </c>
      <c r="I81" s="27">
        <f t="shared" si="5"/>
        <v>0.22959183673469388</v>
      </c>
      <c r="J81" s="21" t="s">
        <v>263</v>
      </c>
      <c r="K81" s="23" t="s">
        <v>260</v>
      </c>
      <c r="L81" s="24" t="s">
        <v>176</v>
      </c>
    </row>
    <row r="82" spans="1:12" ht="40" customHeight="1" x14ac:dyDescent="0.2">
      <c r="A82" s="21">
        <v>81</v>
      </c>
      <c r="B82" s="21" t="s">
        <v>373</v>
      </c>
      <c r="C82" s="21" t="s">
        <v>157</v>
      </c>
      <c r="D82" s="22" t="s">
        <v>260</v>
      </c>
      <c r="E82" s="21">
        <v>13</v>
      </c>
      <c r="F82" s="21">
        <v>45</v>
      </c>
      <c r="G82" s="21">
        <v>58</v>
      </c>
      <c r="H82" s="21">
        <v>196</v>
      </c>
      <c r="I82" s="27">
        <f t="shared" si="5"/>
        <v>0.33504273504273502</v>
      </c>
      <c r="J82" s="21" t="s">
        <v>263</v>
      </c>
      <c r="K82" s="23" t="s">
        <v>260</v>
      </c>
      <c r="L82" s="24" t="s">
        <v>177</v>
      </c>
    </row>
    <row r="83" spans="1:12" ht="40" customHeight="1" x14ac:dyDescent="0.2">
      <c r="A83" s="21">
        <v>82</v>
      </c>
      <c r="B83" s="21" t="s">
        <v>374</v>
      </c>
      <c r="C83" s="21" t="s">
        <v>157</v>
      </c>
      <c r="D83" s="22" t="s">
        <v>260</v>
      </c>
      <c r="E83" s="21">
        <v>13</v>
      </c>
      <c r="F83" s="21">
        <v>30</v>
      </c>
      <c r="G83" s="21">
        <f t="shared" si="6"/>
        <v>43</v>
      </c>
      <c r="H83" s="21">
        <v>158</v>
      </c>
      <c r="I83" s="27">
        <f t="shared" si="5"/>
        <v>0.40512820512820513</v>
      </c>
      <c r="J83" s="21" t="s">
        <v>263</v>
      </c>
      <c r="K83" s="23" t="s">
        <v>260</v>
      </c>
      <c r="L83" s="24" t="s">
        <v>178</v>
      </c>
    </row>
    <row r="84" spans="1:12" ht="40" customHeight="1" x14ac:dyDescent="0.2">
      <c r="A84" s="21">
        <v>83</v>
      </c>
      <c r="B84" s="21" t="s">
        <v>375</v>
      </c>
      <c r="C84" s="21" t="s">
        <v>157</v>
      </c>
      <c r="D84" s="22" t="s">
        <v>260</v>
      </c>
      <c r="E84" s="21">
        <v>9</v>
      </c>
      <c r="F84" s="21">
        <v>30</v>
      </c>
      <c r="G84" s="21">
        <f t="shared" si="6"/>
        <v>39</v>
      </c>
      <c r="H84" s="21">
        <v>101</v>
      </c>
      <c r="I84" s="27">
        <f t="shared" si="5"/>
        <v>0.37407407407407406</v>
      </c>
      <c r="J84" s="21" t="s">
        <v>263</v>
      </c>
      <c r="K84" s="23" t="s">
        <v>260</v>
      </c>
      <c r="L84" s="24" t="s">
        <v>179</v>
      </c>
    </row>
    <row r="85" spans="1:12" ht="40" customHeight="1" x14ac:dyDescent="0.2">
      <c r="A85" s="21">
        <v>84</v>
      </c>
      <c r="B85" s="21" t="s">
        <v>376</v>
      </c>
      <c r="C85" s="21" t="s">
        <v>157</v>
      </c>
      <c r="D85" s="22" t="s">
        <v>260</v>
      </c>
      <c r="E85" s="21">
        <v>25</v>
      </c>
      <c r="F85" s="21">
        <v>28</v>
      </c>
      <c r="G85" s="21">
        <f t="shared" si="6"/>
        <v>53</v>
      </c>
      <c r="H85" s="21">
        <v>115</v>
      </c>
      <c r="I85" s="27">
        <f t="shared" si="5"/>
        <v>0.16428571428571428</v>
      </c>
      <c r="J85" s="21" t="s">
        <v>263</v>
      </c>
      <c r="K85" s="23" t="s">
        <v>260</v>
      </c>
      <c r="L85" s="24" t="s">
        <v>180</v>
      </c>
    </row>
    <row r="86" spans="1:12" ht="40" customHeight="1" x14ac:dyDescent="0.2">
      <c r="A86" s="21">
        <v>85</v>
      </c>
      <c r="B86" s="21" t="s">
        <v>377</v>
      </c>
      <c r="C86" s="21" t="s">
        <v>157</v>
      </c>
      <c r="D86" s="22" t="s">
        <v>260</v>
      </c>
      <c r="E86" s="21">
        <v>26</v>
      </c>
      <c r="F86" s="21">
        <v>22</v>
      </c>
      <c r="G86" s="21">
        <f t="shared" si="6"/>
        <v>48</v>
      </c>
      <c r="H86" s="21">
        <v>105</v>
      </c>
      <c r="I86" s="27">
        <f t="shared" si="5"/>
        <v>0.18356643356643357</v>
      </c>
      <c r="J86" s="21" t="s">
        <v>263</v>
      </c>
      <c r="K86" s="23" t="s">
        <v>260</v>
      </c>
      <c r="L86" s="24" t="s">
        <v>181</v>
      </c>
    </row>
    <row r="87" spans="1:12" ht="40" customHeight="1" x14ac:dyDescent="0.2">
      <c r="A87" s="21">
        <v>86</v>
      </c>
      <c r="B87" s="21" t="s">
        <v>378</v>
      </c>
      <c r="C87" s="21" t="s">
        <v>157</v>
      </c>
      <c r="D87" s="22" t="s">
        <v>260</v>
      </c>
      <c r="E87" s="21">
        <v>22</v>
      </c>
      <c r="F87" s="21">
        <v>20</v>
      </c>
      <c r="G87" s="21">
        <f t="shared" si="6"/>
        <v>42</v>
      </c>
      <c r="H87" s="21">
        <v>89</v>
      </c>
      <c r="I87" s="27">
        <f t="shared" si="5"/>
        <v>0.20227272727272727</v>
      </c>
      <c r="J87" s="21" t="s">
        <v>263</v>
      </c>
      <c r="K87" s="23" t="s">
        <v>260</v>
      </c>
      <c r="L87" s="24" t="s">
        <v>182</v>
      </c>
    </row>
    <row r="88" spans="1:12" ht="40" customHeight="1" x14ac:dyDescent="0.2">
      <c r="A88" s="21">
        <v>87</v>
      </c>
      <c r="B88" s="21" t="s">
        <v>385</v>
      </c>
      <c r="C88" s="21" t="s">
        <v>157</v>
      </c>
      <c r="D88" s="22" t="s">
        <v>260</v>
      </c>
      <c r="E88" s="21">
        <v>12</v>
      </c>
      <c r="F88" s="21">
        <v>15</v>
      </c>
      <c r="G88" s="21">
        <f t="shared" si="6"/>
        <v>27</v>
      </c>
      <c r="H88" s="21">
        <v>44</v>
      </c>
      <c r="I88" s="27">
        <f t="shared" si="5"/>
        <v>0.24444444444444444</v>
      </c>
      <c r="J88" s="21" t="s">
        <v>263</v>
      </c>
      <c r="K88" s="23" t="s">
        <v>183</v>
      </c>
      <c r="L88" s="24" t="s">
        <v>184</v>
      </c>
    </row>
    <row r="89" spans="1:12" ht="40" customHeight="1" x14ac:dyDescent="0.2">
      <c r="A89" s="21">
        <v>88</v>
      </c>
      <c r="B89" s="21" t="s">
        <v>386</v>
      </c>
      <c r="C89" s="21" t="s">
        <v>157</v>
      </c>
      <c r="D89" s="22" t="s">
        <v>260</v>
      </c>
      <c r="E89" s="21">
        <v>23</v>
      </c>
      <c r="F89" s="21">
        <v>29</v>
      </c>
      <c r="G89" s="21">
        <f t="shared" si="6"/>
        <v>52</v>
      </c>
      <c r="H89" s="21">
        <v>152</v>
      </c>
      <c r="I89" s="27">
        <f t="shared" si="5"/>
        <v>0.22788605697151423</v>
      </c>
      <c r="J89" s="21" t="s">
        <v>263</v>
      </c>
      <c r="K89" s="23" t="s">
        <v>185</v>
      </c>
      <c r="L89" s="24" t="s">
        <v>184</v>
      </c>
    </row>
    <row r="90" spans="1:12" ht="40" customHeight="1" x14ac:dyDescent="0.2">
      <c r="A90" s="21">
        <v>89</v>
      </c>
      <c r="B90" s="21" t="s">
        <v>387</v>
      </c>
      <c r="C90" s="21" t="s">
        <v>157</v>
      </c>
      <c r="D90" s="22" t="s">
        <v>260</v>
      </c>
      <c r="E90" s="21">
        <v>14</v>
      </c>
      <c r="F90" s="21">
        <v>14</v>
      </c>
      <c r="G90" s="21">
        <f t="shared" si="6"/>
        <v>28</v>
      </c>
      <c r="H90" s="21">
        <v>49</v>
      </c>
      <c r="I90" s="27">
        <f t="shared" si="5"/>
        <v>0.25</v>
      </c>
      <c r="J90" s="21" t="s">
        <v>263</v>
      </c>
      <c r="K90" s="23" t="s">
        <v>186</v>
      </c>
      <c r="L90" s="24" t="s">
        <v>184</v>
      </c>
    </row>
    <row r="91" spans="1:12" ht="40" customHeight="1" x14ac:dyDescent="0.2">
      <c r="A91" s="21">
        <v>90</v>
      </c>
      <c r="B91" s="21" t="s">
        <v>379</v>
      </c>
      <c r="C91" s="21" t="s">
        <v>157</v>
      </c>
      <c r="D91" s="22" t="s">
        <v>260</v>
      </c>
      <c r="E91" s="21">
        <v>6</v>
      </c>
      <c r="F91" s="21">
        <v>28</v>
      </c>
      <c r="G91" s="21">
        <f t="shared" si="6"/>
        <v>34</v>
      </c>
      <c r="H91" s="21">
        <v>56</v>
      </c>
      <c r="I91" s="27">
        <f t="shared" si="5"/>
        <v>0.33333333333333331</v>
      </c>
      <c r="J91" s="21" t="s">
        <v>263</v>
      </c>
      <c r="K91" s="23" t="s">
        <v>260</v>
      </c>
      <c r="L91" s="24" t="s">
        <v>187</v>
      </c>
    </row>
    <row r="92" spans="1:12" ht="40" customHeight="1" x14ac:dyDescent="0.2">
      <c r="A92" s="21">
        <v>91</v>
      </c>
      <c r="B92" s="21" t="s">
        <v>380</v>
      </c>
      <c r="C92" s="21" t="s">
        <v>157</v>
      </c>
      <c r="D92" s="22" t="s">
        <v>260</v>
      </c>
      <c r="E92" s="21">
        <v>30</v>
      </c>
      <c r="F92" s="21">
        <v>58</v>
      </c>
      <c r="G92" s="21">
        <f t="shared" si="6"/>
        <v>88</v>
      </c>
      <c r="H92" s="21">
        <v>270</v>
      </c>
      <c r="I92" s="27">
        <f t="shared" si="5"/>
        <v>0.15517241379310345</v>
      </c>
      <c r="J92" s="21" t="s">
        <v>263</v>
      </c>
      <c r="K92" s="23" t="s">
        <v>260</v>
      </c>
      <c r="L92" s="24" t="s">
        <v>188</v>
      </c>
    </row>
    <row r="93" spans="1:12" ht="40" customHeight="1" x14ac:dyDescent="0.2">
      <c r="A93" s="21">
        <v>92</v>
      </c>
      <c r="B93" s="21" t="s">
        <v>381</v>
      </c>
      <c r="C93" s="21" t="s">
        <v>157</v>
      </c>
      <c r="D93" s="22" t="s">
        <v>260</v>
      </c>
      <c r="E93" s="21">
        <v>18</v>
      </c>
      <c r="F93" s="21">
        <v>9</v>
      </c>
      <c r="G93" s="21">
        <f t="shared" si="6"/>
        <v>27</v>
      </c>
      <c r="H93" s="21">
        <v>138</v>
      </c>
      <c r="I93" s="27">
        <f t="shared" si="5"/>
        <v>0.85185185185185186</v>
      </c>
      <c r="J93" s="21" t="s">
        <v>262</v>
      </c>
      <c r="K93" s="23" t="s">
        <v>260</v>
      </c>
      <c r="L93" s="24" t="s">
        <v>189</v>
      </c>
    </row>
    <row r="94" spans="1:12" ht="40" customHeight="1" x14ac:dyDescent="0.2">
      <c r="A94" s="21">
        <v>93</v>
      </c>
      <c r="B94" s="21" t="s">
        <v>344</v>
      </c>
      <c r="C94" s="21" t="s">
        <v>157</v>
      </c>
      <c r="D94" s="22" t="s">
        <v>260</v>
      </c>
      <c r="E94" s="21">
        <v>8</v>
      </c>
      <c r="F94" s="21">
        <v>12</v>
      </c>
      <c r="G94" s="21">
        <f t="shared" si="6"/>
        <v>20</v>
      </c>
      <c r="H94" s="21">
        <v>46</v>
      </c>
      <c r="I94" s="27">
        <f t="shared" si="5"/>
        <v>0.47916666666666669</v>
      </c>
      <c r="J94" s="21" t="s">
        <v>262</v>
      </c>
      <c r="K94" s="23" t="s">
        <v>190</v>
      </c>
      <c r="L94" s="24" t="s">
        <v>191</v>
      </c>
    </row>
    <row r="95" spans="1:12" ht="40" customHeight="1" x14ac:dyDescent="0.2">
      <c r="A95" s="21">
        <v>94</v>
      </c>
      <c r="B95" s="21" t="s">
        <v>344</v>
      </c>
      <c r="C95" s="21" t="s">
        <v>157</v>
      </c>
      <c r="D95" s="22" t="s">
        <v>260</v>
      </c>
      <c r="E95" s="21">
        <v>7</v>
      </c>
      <c r="F95" s="21">
        <v>11</v>
      </c>
      <c r="G95" s="21">
        <f t="shared" si="6"/>
        <v>18</v>
      </c>
      <c r="H95" s="21">
        <v>39</v>
      </c>
      <c r="I95" s="27">
        <f t="shared" si="5"/>
        <v>0.50649350649350644</v>
      </c>
      <c r="J95" s="21" t="s">
        <v>262</v>
      </c>
      <c r="K95" s="23" t="s">
        <v>192</v>
      </c>
      <c r="L95" s="24" t="s">
        <v>191</v>
      </c>
    </row>
    <row r="96" spans="1:12" ht="40" customHeight="1" x14ac:dyDescent="0.2">
      <c r="A96" s="21">
        <v>95</v>
      </c>
      <c r="B96" s="21" t="s">
        <v>344</v>
      </c>
      <c r="C96" s="21" t="s">
        <v>157</v>
      </c>
      <c r="D96" s="22" t="s">
        <v>260</v>
      </c>
      <c r="E96" s="21">
        <v>9</v>
      </c>
      <c r="F96" s="21">
        <v>13</v>
      </c>
      <c r="G96" s="21">
        <f t="shared" si="6"/>
        <v>22</v>
      </c>
      <c r="H96" s="21">
        <v>51</v>
      </c>
      <c r="I96" s="27">
        <f t="shared" si="5"/>
        <v>0.4358974358974359</v>
      </c>
      <c r="J96" s="21" t="s">
        <v>262</v>
      </c>
      <c r="K96" s="23" t="s">
        <v>193</v>
      </c>
      <c r="L96" s="24" t="s">
        <v>191</v>
      </c>
    </row>
    <row r="97" spans="1:12" ht="40" customHeight="1" x14ac:dyDescent="0.2">
      <c r="A97" s="21">
        <v>96</v>
      </c>
      <c r="B97" s="21" t="s">
        <v>344</v>
      </c>
      <c r="C97" s="21" t="s">
        <v>157</v>
      </c>
      <c r="D97" s="22" t="s">
        <v>260</v>
      </c>
      <c r="E97" s="21">
        <v>8</v>
      </c>
      <c r="F97" s="21">
        <v>13</v>
      </c>
      <c r="G97" s="21">
        <f t="shared" si="6"/>
        <v>21</v>
      </c>
      <c r="H97" s="21">
        <v>44</v>
      </c>
      <c r="I97" s="27">
        <f t="shared" si="5"/>
        <v>0.42307692307692307</v>
      </c>
      <c r="J97" s="21" t="s">
        <v>262</v>
      </c>
      <c r="K97" s="23" t="s">
        <v>194</v>
      </c>
      <c r="L97" s="24" t="s">
        <v>191</v>
      </c>
    </row>
    <row r="98" spans="1:12" ht="40" customHeight="1" x14ac:dyDescent="0.2">
      <c r="A98" s="21">
        <v>97</v>
      </c>
      <c r="B98" s="21" t="s">
        <v>344</v>
      </c>
      <c r="C98" s="21" t="s">
        <v>157</v>
      </c>
      <c r="D98" s="22" t="s">
        <v>260</v>
      </c>
      <c r="E98" s="21">
        <v>8</v>
      </c>
      <c r="F98" s="21">
        <v>10</v>
      </c>
      <c r="G98" s="21">
        <f t="shared" si="6"/>
        <v>18</v>
      </c>
      <c r="H98" s="21">
        <v>37</v>
      </c>
      <c r="I98" s="27">
        <f t="shared" si="5"/>
        <v>0.46250000000000002</v>
      </c>
      <c r="J98" s="21" t="s">
        <v>262</v>
      </c>
      <c r="K98" s="23" t="s">
        <v>195</v>
      </c>
      <c r="L98" s="24" t="s">
        <v>191</v>
      </c>
    </row>
    <row r="99" spans="1:12" ht="40" customHeight="1" x14ac:dyDescent="0.2">
      <c r="A99" s="21">
        <v>98</v>
      </c>
      <c r="B99" s="21" t="s">
        <v>344</v>
      </c>
      <c r="C99" s="21" t="s">
        <v>157</v>
      </c>
      <c r="D99" s="22" t="s">
        <v>260</v>
      </c>
      <c r="E99" s="21">
        <v>8</v>
      </c>
      <c r="F99" s="21">
        <v>10</v>
      </c>
      <c r="G99" s="21">
        <f t="shared" si="6"/>
        <v>18</v>
      </c>
      <c r="H99" s="21">
        <v>38</v>
      </c>
      <c r="I99" s="27">
        <f t="shared" si="5"/>
        <v>0.47499999999999998</v>
      </c>
      <c r="J99" s="21" t="s">
        <v>262</v>
      </c>
      <c r="K99" s="23" t="s">
        <v>196</v>
      </c>
      <c r="L99" s="24" t="s">
        <v>191</v>
      </c>
    </row>
    <row r="100" spans="1:12" ht="40" customHeight="1" x14ac:dyDescent="0.2">
      <c r="A100" s="21">
        <v>99</v>
      </c>
      <c r="B100" s="21" t="s">
        <v>344</v>
      </c>
      <c r="C100" s="21" t="s">
        <v>157</v>
      </c>
      <c r="D100" s="22" t="s">
        <v>260</v>
      </c>
      <c r="E100" s="21">
        <v>8</v>
      </c>
      <c r="F100" s="21">
        <v>11</v>
      </c>
      <c r="G100" s="21">
        <f t="shared" si="6"/>
        <v>19</v>
      </c>
      <c r="H100" s="21">
        <v>41</v>
      </c>
      <c r="I100" s="27">
        <f t="shared" si="5"/>
        <v>0.46590909090909088</v>
      </c>
      <c r="J100" s="21" t="s">
        <v>262</v>
      </c>
      <c r="K100" s="23" t="s">
        <v>197</v>
      </c>
      <c r="L100" s="24" t="s">
        <v>191</v>
      </c>
    </row>
    <row r="101" spans="1:12" ht="40" customHeight="1" x14ac:dyDescent="0.2">
      <c r="A101" s="21">
        <v>100</v>
      </c>
      <c r="B101" s="21" t="s">
        <v>344</v>
      </c>
      <c r="C101" s="21" t="s">
        <v>157</v>
      </c>
      <c r="D101" s="22" t="s">
        <v>260</v>
      </c>
      <c r="E101" s="21">
        <v>10</v>
      </c>
      <c r="F101" s="21">
        <v>13</v>
      </c>
      <c r="G101" s="21">
        <f t="shared" si="6"/>
        <v>23</v>
      </c>
      <c r="H101" s="21">
        <v>52</v>
      </c>
      <c r="I101" s="27">
        <f>H101/(E101*F101)</f>
        <v>0.4</v>
      </c>
      <c r="J101" s="21" t="s">
        <v>262</v>
      </c>
      <c r="K101" s="23" t="s">
        <v>198</v>
      </c>
      <c r="L101" s="24" t="s">
        <v>191</v>
      </c>
    </row>
    <row r="102" spans="1:12" ht="40" customHeight="1" x14ac:dyDescent="0.2">
      <c r="A102" s="21">
        <v>101</v>
      </c>
      <c r="B102" s="21" t="s">
        <v>344</v>
      </c>
      <c r="C102" s="21" t="s">
        <v>157</v>
      </c>
      <c r="D102" s="22" t="s">
        <v>260</v>
      </c>
      <c r="E102" s="21">
        <v>8</v>
      </c>
      <c r="F102" s="21">
        <v>15</v>
      </c>
      <c r="G102" s="21">
        <f t="shared" si="6"/>
        <v>23</v>
      </c>
      <c r="H102" s="21">
        <v>65</v>
      </c>
      <c r="I102" s="27">
        <f t="shared" si="5"/>
        <v>0.54166666666666663</v>
      </c>
      <c r="J102" s="21" t="s">
        <v>262</v>
      </c>
      <c r="K102" s="23" t="s">
        <v>199</v>
      </c>
      <c r="L102" s="24" t="s">
        <v>191</v>
      </c>
    </row>
    <row r="103" spans="1:12" ht="40" customHeight="1" x14ac:dyDescent="0.2">
      <c r="A103" s="21">
        <v>102</v>
      </c>
      <c r="B103" s="21" t="s">
        <v>344</v>
      </c>
      <c r="C103" s="21" t="s">
        <v>157</v>
      </c>
      <c r="D103" s="22" t="s">
        <v>260</v>
      </c>
      <c r="E103" s="21">
        <v>9</v>
      </c>
      <c r="F103" s="21">
        <v>16</v>
      </c>
      <c r="G103" s="21">
        <f t="shared" si="6"/>
        <v>25</v>
      </c>
      <c r="H103" s="21">
        <v>50</v>
      </c>
      <c r="I103" s="27">
        <f t="shared" si="5"/>
        <v>0.34722222222222221</v>
      </c>
      <c r="J103" s="21" t="s">
        <v>262</v>
      </c>
      <c r="K103" s="23" t="s">
        <v>200</v>
      </c>
      <c r="L103" s="24" t="s">
        <v>191</v>
      </c>
    </row>
    <row r="104" spans="1:12" ht="40" customHeight="1" x14ac:dyDescent="0.2">
      <c r="A104" s="21">
        <v>103</v>
      </c>
      <c r="B104" s="21" t="s">
        <v>344</v>
      </c>
      <c r="C104" s="21" t="s">
        <v>157</v>
      </c>
      <c r="D104" s="22" t="s">
        <v>260</v>
      </c>
      <c r="E104" s="21">
        <v>6</v>
      </c>
      <c r="F104" s="21">
        <v>20</v>
      </c>
      <c r="G104" s="21">
        <f t="shared" si="6"/>
        <v>26</v>
      </c>
      <c r="H104" s="21">
        <v>49</v>
      </c>
      <c r="I104" s="27">
        <f t="shared" si="5"/>
        <v>0.40833333333333333</v>
      </c>
      <c r="J104" s="21" t="s">
        <v>262</v>
      </c>
      <c r="K104" s="23" t="s">
        <v>201</v>
      </c>
      <c r="L104" s="24" t="s">
        <v>191</v>
      </c>
    </row>
    <row r="105" spans="1:12" ht="40" customHeight="1" x14ac:dyDescent="0.2">
      <c r="A105" s="21">
        <v>104</v>
      </c>
      <c r="B105" s="21" t="s">
        <v>344</v>
      </c>
      <c r="C105" s="21" t="s">
        <v>157</v>
      </c>
      <c r="D105" s="22" t="s">
        <v>260</v>
      </c>
      <c r="E105" s="21">
        <v>8</v>
      </c>
      <c r="F105" s="21">
        <v>19</v>
      </c>
      <c r="G105" s="21">
        <f t="shared" si="6"/>
        <v>27</v>
      </c>
      <c r="H105" s="21">
        <v>64</v>
      </c>
      <c r="I105" s="27">
        <f t="shared" si="5"/>
        <v>0.42105263157894735</v>
      </c>
      <c r="J105" s="21" t="s">
        <v>262</v>
      </c>
      <c r="K105" s="23" t="s">
        <v>202</v>
      </c>
      <c r="L105" s="24" t="s">
        <v>191</v>
      </c>
    </row>
    <row r="106" spans="1:12" ht="40" customHeight="1" x14ac:dyDescent="0.2">
      <c r="A106" s="21">
        <v>105</v>
      </c>
      <c r="B106" s="21" t="s">
        <v>345</v>
      </c>
      <c r="C106" s="21" t="s">
        <v>157</v>
      </c>
      <c r="D106" s="22" t="s">
        <v>260</v>
      </c>
      <c r="E106" s="21">
        <v>22</v>
      </c>
      <c r="F106" s="21">
        <v>17</v>
      </c>
      <c r="G106" s="21">
        <f t="shared" si="6"/>
        <v>39</v>
      </c>
      <c r="H106" s="21">
        <v>100</v>
      </c>
      <c r="I106" s="27">
        <f t="shared" si="5"/>
        <v>0.26737967914438504</v>
      </c>
      <c r="J106" s="21" t="s">
        <v>262</v>
      </c>
      <c r="K106" s="23" t="s">
        <v>260</v>
      </c>
      <c r="L106" s="24" t="s">
        <v>203</v>
      </c>
    </row>
    <row r="107" spans="1:12" ht="40" customHeight="1" x14ac:dyDescent="0.2">
      <c r="A107" s="21">
        <v>106</v>
      </c>
      <c r="B107" s="21" t="s">
        <v>346</v>
      </c>
      <c r="C107" s="21" t="s">
        <v>157</v>
      </c>
      <c r="D107" s="22" t="s">
        <v>260</v>
      </c>
      <c r="E107" s="21">
        <v>6</v>
      </c>
      <c r="F107" s="21">
        <v>7</v>
      </c>
      <c r="G107" s="21">
        <v>13</v>
      </c>
      <c r="H107" s="21">
        <v>29</v>
      </c>
      <c r="I107" s="27">
        <f t="shared" si="5"/>
        <v>0.69047619047619047</v>
      </c>
      <c r="J107" s="21" t="s">
        <v>263</v>
      </c>
      <c r="K107" s="23" t="s">
        <v>260</v>
      </c>
      <c r="L107" s="25" t="s">
        <v>348</v>
      </c>
    </row>
    <row r="108" spans="1:12" ht="40" customHeight="1" x14ac:dyDescent="0.2">
      <c r="A108" s="21">
        <v>107</v>
      </c>
      <c r="B108" s="21" t="s">
        <v>347</v>
      </c>
      <c r="C108" s="21" t="s">
        <v>157</v>
      </c>
      <c r="D108" s="22" t="s">
        <v>260</v>
      </c>
      <c r="E108" s="21">
        <v>34</v>
      </c>
      <c r="F108" s="21">
        <v>20</v>
      </c>
      <c r="G108" s="21">
        <f t="shared" si="6"/>
        <v>54</v>
      </c>
      <c r="H108" s="21">
        <v>129</v>
      </c>
      <c r="I108" s="27">
        <f t="shared" ref="I108:I121" si="7">H108/(E108*F108)</f>
        <v>0.18970588235294117</v>
      </c>
      <c r="J108" s="21" t="s">
        <v>263</v>
      </c>
      <c r="K108" s="23" t="s">
        <v>260</v>
      </c>
      <c r="L108" s="24" t="s">
        <v>204</v>
      </c>
    </row>
    <row r="109" spans="1:12" ht="40" customHeight="1" x14ac:dyDescent="0.2">
      <c r="A109" s="21">
        <v>108</v>
      </c>
      <c r="B109" s="21" t="s">
        <v>349</v>
      </c>
      <c r="C109" s="21" t="s">
        <v>157</v>
      </c>
      <c r="D109" s="22" t="s">
        <v>260</v>
      </c>
      <c r="E109" s="21">
        <v>14</v>
      </c>
      <c r="F109" s="21">
        <v>6</v>
      </c>
      <c r="G109" s="21">
        <f t="shared" si="6"/>
        <v>20</v>
      </c>
      <c r="H109" s="21">
        <v>36</v>
      </c>
      <c r="I109" s="27">
        <f t="shared" si="7"/>
        <v>0.42857142857142855</v>
      </c>
      <c r="J109" s="21" t="s">
        <v>263</v>
      </c>
      <c r="K109" s="23" t="s">
        <v>260</v>
      </c>
      <c r="L109" s="24" t="s">
        <v>205</v>
      </c>
    </row>
    <row r="110" spans="1:12" ht="40" customHeight="1" x14ac:dyDescent="0.2">
      <c r="A110" s="21">
        <v>109</v>
      </c>
      <c r="B110" s="21" t="s">
        <v>350</v>
      </c>
      <c r="C110" s="21" t="s">
        <v>157</v>
      </c>
      <c r="D110" s="22" t="s">
        <v>260</v>
      </c>
      <c r="E110" s="21">
        <v>81</v>
      </c>
      <c r="F110" s="21">
        <v>18</v>
      </c>
      <c r="G110" s="21">
        <f t="shared" si="6"/>
        <v>99</v>
      </c>
      <c r="H110" s="21">
        <v>282</v>
      </c>
      <c r="I110" s="27">
        <f t="shared" si="7"/>
        <v>0.19341563786008231</v>
      </c>
      <c r="J110" s="21" t="s">
        <v>263</v>
      </c>
      <c r="K110" s="23" t="s">
        <v>260</v>
      </c>
      <c r="L110" s="24" t="s">
        <v>206</v>
      </c>
    </row>
    <row r="111" spans="1:12" ht="40" customHeight="1" x14ac:dyDescent="0.2">
      <c r="A111" s="21">
        <v>110</v>
      </c>
      <c r="B111" s="21" t="s">
        <v>351</v>
      </c>
      <c r="C111" s="21" t="s">
        <v>157</v>
      </c>
      <c r="D111" s="22" t="s">
        <v>260</v>
      </c>
      <c r="E111" s="21">
        <v>35</v>
      </c>
      <c r="F111" s="21">
        <v>14</v>
      </c>
      <c r="G111" s="21">
        <f t="shared" si="6"/>
        <v>49</v>
      </c>
      <c r="H111" s="21">
        <v>130</v>
      </c>
      <c r="I111" s="27">
        <f t="shared" si="7"/>
        <v>0.26530612244897961</v>
      </c>
      <c r="J111" s="21" t="s">
        <v>263</v>
      </c>
      <c r="K111" s="23" t="s">
        <v>260</v>
      </c>
      <c r="L111" s="24" t="s">
        <v>207</v>
      </c>
    </row>
    <row r="112" spans="1:12" ht="40" customHeight="1" x14ac:dyDescent="0.2">
      <c r="A112" s="21">
        <v>111</v>
      </c>
      <c r="B112" s="21" t="s">
        <v>352</v>
      </c>
      <c r="C112" s="21" t="s">
        <v>157</v>
      </c>
      <c r="D112" s="22" t="s">
        <v>260</v>
      </c>
      <c r="E112" s="21">
        <v>35</v>
      </c>
      <c r="F112" s="21">
        <v>14</v>
      </c>
      <c r="G112" s="21">
        <f t="shared" si="6"/>
        <v>49</v>
      </c>
      <c r="H112" s="21">
        <v>154</v>
      </c>
      <c r="I112" s="27">
        <f t="shared" si="7"/>
        <v>0.31428571428571428</v>
      </c>
      <c r="J112" s="21" t="s">
        <v>263</v>
      </c>
      <c r="K112" s="23" t="s">
        <v>260</v>
      </c>
      <c r="L112" s="24" t="s">
        <v>208</v>
      </c>
    </row>
    <row r="113" spans="1:12" ht="40" customHeight="1" x14ac:dyDescent="0.2">
      <c r="A113" s="21">
        <v>112</v>
      </c>
      <c r="B113" s="21" t="s">
        <v>353</v>
      </c>
      <c r="C113" s="21" t="s">
        <v>157</v>
      </c>
      <c r="D113" s="22" t="s">
        <v>260</v>
      </c>
      <c r="E113" s="21">
        <v>43</v>
      </c>
      <c r="F113" s="21">
        <v>15</v>
      </c>
      <c r="G113" s="21">
        <f t="shared" si="6"/>
        <v>58</v>
      </c>
      <c r="H113" s="21">
        <v>140</v>
      </c>
      <c r="I113" s="27">
        <f t="shared" si="7"/>
        <v>0.21705426356589147</v>
      </c>
      <c r="J113" s="21" t="s">
        <v>263</v>
      </c>
      <c r="K113" s="23" t="s">
        <v>260</v>
      </c>
      <c r="L113" s="24" t="s">
        <v>209</v>
      </c>
    </row>
    <row r="114" spans="1:12" ht="40" customHeight="1" x14ac:dyDescent="0.2">
      <c r="A114" s="21">
        <v>113</v>
      </c>
      <c r="B114" s="21" t="s">
        <v>354</v>
      </c>
      <c r="C114" s="21" t="s">
        <v>157</v>
      </c>
      <c r="D114" s="22" t="s">
        <v>260</v>
      </c>
      <c r="E114" s="21">
        <v>22</v>
      </c>
      <c r="F114" s="21">
        <v>7</v>
      </c>
      <c r="G114" s="21">
        <f t="shared" ref="G114:G123" si="8">E114+F114</f>
        <v>29</v>
      </c>
      <c r="H114" s="21">
        <v>69</v>
      </c>
      <c r="I114" s="27">
        <f t="shared" si="7"/>
        <v>0.44805194805194803</v>
      </c>
      <c r="J114" s="21" t="s">
        <v>263</v>
      </c>
      <c r="K114" s="23" t="s">
        <v>210</v>
      </c>
      <c r="L114" s="24" t="s">
        <v>211</v>
      </c>
    </row>
    <row r="115" spans="1:12" ht="40" customHeight="1" x14ac:dyDescent="0.2">
      <c r="A115" s="21">
        <v>114</v>
      </c>
      <c r="B115" s="21" t="s">
        <v>354</v>
      </c>
      <c r="C115" s="21" t="s">
        <v>157</v>
      </c>
      <c r="D115" s="22" t="s">
        <v>260</v>
      </c>
      <c r="E115" s="21">
        <v>19</v>
      </c>
      <c r="F115" s="21">
        <v>6</v>
      </c>
      <c r="G115" s="21">
        <f t="shared" si="8"/>
        <v>25</v>
      </c>
      <c r="H115" s="21">
        <v>53</v>
      </c>
      <c r="I115" s="27">
        <f t="shared" si="7"/>
        <v>0.46491228070175439</v>
      </c>
      <c r="J115" s="21" t="s">
        <v>263</v>
      </c>
      <c r="K115" s="23" t="s">
        <v>212</v>
      </c>
      <c r="L115" s="24" t="s">
        <v>211</v>
      </c>
    </row>
    <row r="116" spans="1:12" ht="40" customHeight="1" x14ac:dyDescent="0.2">
      <c r="A116" s="21">
        <v>115</v>
      </c>
      <c r="B116" s="21" t="s">
        <v>355</v>
      </c>
      <c r="C116" s="21" t="s">
        <v>157</v>
      </c>
      <c r="D116" s="22" t="s">
        <v>260</v>
      </c>
      <c r="E116" s="21">
        <v>24</v>
      </c>
      <c r="F116" s="21">
        <v>7</v>
      </c>
      <c r="G116" s="21">
        <f t="shared" si="8"/>
        <v>31</v>
      </c>
      <c r="H116" s="21">
        <v>74</v>
      </c>
      <c r="I116" s="27">
        <f t="shared" si="7"/>
        <v>0.44047619047619047</v>
      </c>
      <c r="J116" s="21" t="s">
        <v>263</v>
      </c>
      <c r="K116" s="23" t="s">
        <v>260</v>
      </c>
      <c r="L116" s="24" t="s">
        <v>213</v>
      </c>
    </row>
    <row r="117" spans="1:12" ht="40" customHeight="1" x14ac:dyDescent="0.2">
      <c r="A117" s="21">
        <v>116</v>
      </c>
      <c r="B117" s="21" t="s">
        <v>356</v>
      </c>
      <c r="C117" s="21" t="s">
        <v>157</v>
      </c>
      <c r="D117" s="22" t="s">
        <v>260</v>
      </c>
      <c r="E117" s="21">
        <v>13</v>
      </c>
      <c r="F117" s="21">
        <v>7</v>
      </c>
      <c r="G117" s="21">
        <f t="shared" si="8"/>
        <v>20</v>
      </c>
      <c r="H117" s="21">
        <v>43</v>
      </c>
      <c r="I117" s="27">
        <f t="shared" si="7"/>
        <v>0.47252747252747251</v>
      </c>
      <c r="J117" s="21" t="s">
        <v>263</v>
      </c>
      <c r="K117" s="23" t="s">
        <v>260</v>
      </c>
      <c r="L117" s="24" t="s">
        <v>214</v>
      </c>
    </row>
    <row r="118" spans="1:12" ht="40" customHeight="1" x14ac:dyDescent="0.2">
      <c r="A118" s="21">
        <v>117</v>
      </c>
      <c r="B118" s="21" t="s">
        <v>357</v>
      </c>
      <c r="C118" s="21" t="s">
        <v>157</v>
      </c>
      <c r="D118" s="22" t="s">
        <v>260</v>
      </c>
      <c r="E118" s="21">
        <v>17</v>
      </c>
      <c r="F118" s="21">
        <v>20</v>
      </c>
      <c r="G118" s="21">
        <f t="shared" si="8"/>
        <v>37</v>
      </c>
      <c r="H118" s="21">
        <v>103</v>
      </c>
      <c r="I118" s="27">
        <f t="shared" si="7"/>
        <v>0.30294117647058821</v>
      </c>
      <c r="J118" s="21" t="s">
        <v>263</v>
      </c>
      <c r="K118" s="23" t="s">
        <v>260</v>
      </c>
      <c r="L118" s="24" t="s">
        <v>215</v>
      </c>
    </row>
    <row r="119" spans="1:12" ht="40" customHeight="1" x14ac:dyDescent="0.2">
      <c r="A119" s="21">
        <v>118</v>
      </c>
      <c r="B119" s="21" t="s">
        <v>358</v>
      </c>
      <c r="C119" s="21" t="s">
        <v>157</v>
      </c>
      <c r="D119" s="22" t="s">
        <v>260</v>
      </c>
      <c r="E119" s="21">
        <v>56</v>
      </c>
      <c r="F119" s="21">
        <v>20</v>
      </c>
      <c r="G119" s="21">
        <f t="shared" si="8"/>
        <v>76</v>
      </c>
      <c r="H119" s="21">
        <v>160</v>
      </c>
      <c r="I119" s="27">
        <f t="shared" si="7"/>
        <v>0.14285714285714285</v>
      </c>
      <c r="J119" s="21" t="s">
        <v>263</v>
      </c>
      <c r="K119" s="23" t="s">
        <v>260</v>
      </c>
      <c r="L119" s="24" t="s">
        <v>216</v>
      </c>
    </row>
    <row r="120" spans="1:12" ht="40" customHeight="1" x14ac:dyDescent="0.2">
      <c r="A120" s="21">
        <v>119</v>
      </c>
      <c r="B120" s="21" t="s">
        <v>359</v>
      </c>
      <c r="C120" s="21" t="s">
        <v>157</v>
      </c>
      <c r="D120" s="22" t="s">
        <v>260</v>
      </c>
      <c r="E120" s="21">
        <v>30</v>
      </c>
      <c r="F120" s="21">
        <v>31</v>
      </c>
      <c r="G120" s="21">
        <f t="shared" si="8"/>
        <v>61</v>
      </c>
      <c r="H120" s="21">
        <v>219</v>
      </c>
      <c r="I120" s="27">
        <f t="shared" si="7"/>
        <v>0.23548387096774193</v>
      </c>
      <c r="J120" s="21" t="s">
        <v>262</v>
      </c>
      <c r="K120" s="23" t="s">
        <v>260</v>
      </c>
      <c r="L120" s="24" t="s">
        <v>217</v>
      </c>
    </row>
    <row r="121" spans="1:12" ht="40" customHeight="1" x14ac:dyDescent="0.2">
      <c r="A121" s="21">
        <v>120</v>
      </c>
      <c r="B121" s="21" t="s">
        <v>360</v>
      </c>
      <c r="C121" s="21" t="s">
        <v>157</v>
      </c>
      <c r="D121" s="22" t="s">
        <v>260</v>
      </c>
      <c r="E121" s="21">
        <v>7</v>
      </c>
      <c r="F121" s="21">
        <v>6</v>
      </c>
      <c r="G121" s="21">
        <v>13</v>
      </c>
      <c r="H121" s="21">
        <v>29</v>
      </c>
      <c r="I121" s="27">
        <f t="shared" si="7"/>
        <v>0.69047619047619047</v>
      </c>
      <c r="J121" s="21" t="s">
        <v>263</v>
      </c>
      <c r="K121" s="23" t="s">
        <v>260</v>
      </c>
      <c r="L121" s="25" t="s">
        <v>361</v>
      </c>
    </row>
    <row r="122" spans="1:12" ht="40" customHeight="1" x14ac:dyDescent="0.2">
      <c r="A122" s="21">
        <v>121</v>
      </c>
      <c r="B122" s="21" t="s">
        <v>362</v>
      </c>
      <c r="C122" s="21" t="s">
        <v>157</v>
      </c>
      <c r="D122" s="22" t="s">
        <v>260</v>
      </c>
      <c r="E122" s="21">
        <v>36</v>
      </c>
      <c r="F122" s="21">
        <v>41</v>
      </c>
      <c r="G122" s="21">
        <f t="shared" si="8"/>
        <v>77</v>
      </c>
      <c r="H122" s="21">
        <v>163</v>
      </c>
      <c r="I122" s="27">
        <f t="shared" ref="I122:I128" si="9">H122/(E122*F122)</f>
        <v>0.11043360433604336</v>
      </c>
      <c r="J122" s="21" t="s">
        <v>263</v>
      </c>
      <c r="K122" s="23" t="s">
        <v>218</v>
      </c>
      <c r="L122" s="24" t="s">
        <v>219</v>
      </c>
    </row>
    <row r="123" spans="1:12" ht="40" customHeight="1" x14ac:dyDescent="0.2">
      <c r="A123" s="21">
        <v>122</v>
      </c>
      <c r="B123" s="21" t="s">
        <v>362</v>
      </c>
      <c r="C123" s="21" t="s">
        <v>157</v>
      </c>
      <c r="D123" s="22" t="s">
        <v>260</v>
      </c>
      <c r="E123" s="21">
        <v>20</v>
      </c>
      <c r="F123" s="21">
        <v>23</v>
      </c>
      <c r="G123" s="21">
        <f t="shared" si="8"/>
        <v>43</v>
      </c>
      <c r="H123" s="21">
        <v>72</v>
      </c>
      <c r="I123" s="27">
        <f t="shared" si="9"/>
        <v>0.15652173913043479</v>
      </c>
      <c r="J123" s="21" t="s">
        <v>263</v>
      </c>
      <c r="K123" s="23" t="s">
        <v>220</v>
      </c>
      <c r="L123" s="24" t="s">
        <v>219</v>
      </c>
    </row>
    <row r="124" spans="1:12" ht="40" customHeight="1" x14ac:dyDescent="0.2">
      <c r="A124" s="21">
        <v>123</v>
      </c>
      <c r="B124" s="21" t="s">
        <v>343</v>
      </c>
      <c r="C124" s="21" t="s">
        <v>157</v>
      </c>
      <c r="D124" s="22" t="s">
        <v>260</v>
      </c>
      <c r="E124" s="21">
        <v>8</v>
      </c>
      <c r="F124" s="21">
        <v>30</v>
      </c>
      <c r="G124" s="21">
        <f>E124+F124</f>
        <v>38</v>
      </c>
      <c r="H124" s="21">
        <v>77</v>
      </c>
      <c r="I124" s="27">
        <f t="shared" si="9"/>
        <v>0.32083333333333336</v>
      </c>
      <c r="J124" s="21" t="s">
        <v>262</v>
      </c>
      <c r="K124" s="23" t="s">
        <v>169</v>
      </c>
      <c r="L124" s="24" t="s">
        <v>170</v>
      </c>
    </row>
    <row r="125" spans="1:12" ht="40" customHeight="1" x14ac:dyDescent="0.2">
      <c r="A125" s="21">
        <v>124</v>
      </c>
      <c r="B125" s="21" t="s">
        <v>343</v>
      </c>
      <c r="C125" s="21" t="s">
        <v>157</v>
      </c>
      <c r="D125" s="22" t="s">
        <v>260</v>
      </c>
      <c r="E125" s="21">
        <v>7</v>
      </c>
      <c r="F125" s="21">
        <v>38</v>
      </c>
      <c r="G125" s="21">
        <f>E125+F125</f>
        <v>45</v>
      </c>
      <c r="H125" s="21">
        <v>111</v>
      </c>
      <c r="I125" s="27">
        <f t="shared" si="9"/>
        <v>0.41729323308270677</v>
      </c>
      <c r="J125" s="21" t="s">
        <v>262</v>
      </c>
      <c r="K125" s="23" t="s">
        <v>171</v>
      </c>
      <c r="L125" s="24" t="s">
        <v>170</v>
      </c>
    </row>
    <row r="126" spans="1:12" ht="40" customHeight="1" x14ac:dyDescent="0.2">
      <c r="A126" s="21">
        <v>125</v>
      </c>
      <c r="B126" s="21" t="s">
        <v>343</v>
      </c>
      <c r="C126" s="21" t="s">
        <v>157</v>
      </c>
      <c r="D126" s="22" t="s">
        <v>260</v>
      </c>
      <c r="E126" s="21">
        <v>8</v>
      </c>
      <c r="F126" s="21">
        <v>34</v>
      </c>
      <c r="G126" s="21">
        <f>E126+F126</f>
        <v>42</v>
      </c>
      <c r="H126" s="21">
        <v>96</v>
      </c>
      <c r="I126" s="27">
        <f t="shared" si="9"/>
        <v>0.35294117647058826</v>
      </c>
      <c r="J126" s="21" t="s">
        <v>262</v>
      </c>
      <c r="K126" s="23" t="s">
        <v>172</v>
      </c>
      <c r="L126" s="24" t="s">
        <v>170</v>
      </c>
    </row>
    <row r="127" spans="1:12" ht="40" customHeight="1" x14ac:dyDescent="0.2">
      <c r="A127" s="21">
        <v>126</v>
      </c>
      <c r="B127" s="21" t="s">
        <v>343</v>
      </c>
      <c r="C127" s="21" t="s">
        <v>157</v>
      </c>
      <c r="D127" s="22" t="s">
        <v>260</v>
      </c>
      <c r="E127" s="21">
        <v>8</v>
      </c>
      <c r="F127" s="21">
        <v>39</v>
      </c>
      <c r="G127" s="21">
        <f>E127+F127</f>
        <v>47</v>
      </c>
      <c r="H127" s="21">
        <v>123</v>
      </c>
      <c r="I127" s="27">
        <f t="shared" si="9"/>
        <v>0.39423076923076922</v>
      </c>
      <c r="J127" s="21" t="s">
        <v>262</v>
      </c>
      <c r="K127" s="23" t="s">
        <v>173</v>
      </c>
      <c r="L127" s="24" t="s">
        <v>170</v>
      </c>
    </row>
    <row r="128" spans="1:12" ht="40" customHeight="1" x14ac:dyDescent="0.2">
      <c r="A128" s="21">
        <v>127</v>
      </c>
      <c r="B128" s="21" t="s">
        <v>364</v>
      </c>
      <c r="C128" s="21" t="s">
        <v>157</v>
      </c>
      <c r="D128" s="22" t="s">
        <v>260</v>
      </c>
      <c r="E128" s="21">
        <v>13</v>
      </c>
      <c r="F128" s="21">
        <v>7</v>
      </c>
      <c r="G128" s="21">
        <v>20</v>
      </c>
      <c r="H128" s="21">
        <v>42</v>
      </c>
      <c r="I128" s="27">
        <f t="shared" si="9"/>
        <v>0.46153846153846156</v>
      </c>
      <c r="J128" s="21" t="s">
        <v>263</v>
      </c>
      <c r="K128" s="23" t="s">
        <v>260</v>
      </c>
      <c r="L128" s="25" t="s">
        <v>363</v>
      </c>
    </row>
    <row r="129" spans="1:12" ht="31" customHeight="1" x14ac:dyDescent="0.2">
      <c r="A129" s="21">
        <v>128</v>
      </c>
      <c r="B129" s="21" t="s">
        <v>394</v>
      </c>
      <c r="C129" s="21" t="s">
        <v>157</v>
      </c>
      <c r="D129" s="22" t="s">
        <v>260</v>
      </c>
      <c r="E129" s="21">
        <v>17</v>
      </c>
      <c r="F129" s="21">
        <v>26</v>
      </c>
      <c r="G129" s="21">
        <v>43</v>
      </c>
      <c r="H129" s="21">
        <v>79</v>
      </c>
      <c r="I129" s="27">
        <f t="shared" ref="I129:I134" si="10">H129/(E129*F129)</f>
        <v>0.17873303167420815</v>
      </c>
      <c r="J129" s="21" t="s">
        <v>262</v>
      </c>
      <c r="K129" s="23" t="s">
        <v>260</v>
      </c>
      <c r="L129" s="25" t="s">
        <v>395</v>
      </c>
    </row>
    <row r="130" spans="1:12" ht="42" customHeight="1" x14ac:dyDescent="0.2">
      <c r="A130" s="21">
        <v>129</v>
      </c>
      <c r="B130" s="21" t="s">
        <v>408</v>
      </c>
      <c r="C130" s="21" t="s">
        <v>157</v>
      </c>
      <c r="D130" s="22" t="s">
        <v>260</v>
      </c>
      <c r="E130" s="21">
        <v>21</v>
      </c>
      <c r="F130" s="21">
        <v>35</v>
      </c>
      <c r="G130" s="21">
        <v>56</v>
      </c>
      <c r="H130" s="21">
        <v>186</v>
      </c>
      <c r="I130" s="27">
        <f t="shared" si="10"/>
        <v>0.2530612244897959</v>
      </c>
      <c r="J130" s="21" t="s">
        <v>263</v>
      </c>
      <c r="K130" s="23" t="s">
        <v>260</v>
      </c>
      <c r="L130" s="25" t="s">
        <v>409</v>
      </c>
    </row>
    <row r="131" spans="1:12" ht="33" customHeight="1" x14ac:dyDescent="0.2">
      <c r="A131" s="21">
        <v>130</v>
      </c>
      <c r="B131" s="21" t="s">
        <v>411</v>
      </c>
      <c r="C131" s="21" t="s">
        <v>157</v>
      </c>
      <c r="D131" s="22" t="s">
        <v>260</v>
      </c>
      <c r="E131" s="21">
        <v>787</v>
      </c>
      <c r="F131" s="21">
        <v>343</v>
      </c>
      <c r="G131" s="21">
        <v>1130</v>
      </c>
      <c r="H131" s="21">
        <v>8320</v>
      </c>
      <c r="I131" s="27">
        <f t="shared" si="10"/>
        <v>3.0821549894236147E-2</v>
      </c>
      <c r="J131" s="21" t="s">
        <v>263</v>
      </c>
      <c r="K131" s="23" t="s">
        <v>260</v>
      </c>
      <c r="L131" s="25" t="s">
        <v>410</v>
      </c>
    </row>
    <row r="132" spans="1:12" ht="42" customHeight="1" x14ac:dyDescent="0.2">
      <c r="A132" s="21">
        <v>131</v>
      </c>
      <c r="B132" s="21" t="s">
        <v>412</v>
      </c>
      <c r="C132" s="21" t="s">
        <v>157</v>
      </c>
      <c r="D132" s="22" t="s">
        <v>260</v>
      </c>
      <c r="E132" s="21">
        <v>73</v>
      </c>
      <c r="F132" s="21">
        <v>39</v>
      </c>
      <c r="G132" s="21">
        <v>112</v>
      </c>
      <c r="H132" s="21">
        <v>285</v>
      </c>
      <c r="I132" s="27">
        <f t="shared" si="10"/>
        <v>0.10010537407797682</v>
      </c>
      <c r="J132" s="21" t="s">
        <v>263</v>
      </c>
      <c r="K132" s="29" t="s">
        <v>417</v>
      </c>
      <c r="L132" s="25" t="s">
        <v>410</v>
      </c>
    </row>
    <row r="133" spans="1:12" ht="31" customHeight="1" x14ac:dyDescent="0.2">
      <c r="A133" s="21">
        <v>133</v>
      </c>
      <c r="B133" s="21" t="s">
        <v>413</v>
      </c>
      <c r="C133" s="21" t="s">
        <v>157</v>
      </c>
      <c r="D133" s="22" t="s">
        <v>260</v>
      </c>
      <c r="E133" s="21">
        <v>47</v>
      </c>
      <c r="F133" s="21">
        <v>42</v>
      </c>
      <c r="G133" s="21">
        <v>89</v>
      </c>
      <c r="H133" s="21">
        <v>163</v>
      </c>
      <c r="I133" s="27">
        <f t="shared" si="10"/>
        <v>8.2573454913880448E-2</v>
      </c>
      <c r="J133" s="21" t="s">
        <v>263</v>
      </c>
      <c r="K133" s="29" t="s">
        <v>416</v>
      </c>
      <c r="L133" s="25" t="s">
        <v>410</v>
      </c>
    </row>
    <row r="134" spans="1:12" ht="31" customHeight="1" x14ac:dyDescent="0.2">
      <c r="A134" s="21">
        <v>134</v>
      </c>
      <c r="B134" s="21" t="s">
        <v>414</v>
      </c>
      <c r="C134" s="21" t="s">
        <v>157</v>
      </c>
      <c r="D134" s="22" t="s">
        <v>260</v>
      </c>
      <c r="E134" s="21">
        <v>203</v>
      </c>
      <c r="F134" s="21">
        <v>107</v>
      </c>
      <c r="G134" s="21">
        <v>310</v>
      </c>
      <c r="H134" s="21">
        <v>1124</v>
      </c>
      <c r="I134" s="27">
        <f t="shared" si="10"/>
        <v>5.1747157129045623E-2</v>
      </c>
      <c r="J134" s="21" t="s">
        <v>263</v>
      </c>
      <c r="K134" s="29" t="s">
        <v>415</v>
      </c>
      <c r="L134" s="25" t="s">
        <v>410</v>
      </c>
    </row>
    <row r="135" spans="1:12" ht="30" customHeight="1" x14ac:dyDescent="0.2">
      <c r="A135" s="21">
        <v>135</v>
      </c>
      <c r="B135" s="21" t="s">
        <v>418</v>
      </c>
      <c r="C135" s="21" t="s">
        <v>157</v>
      </c>
      <c r="D135" s="22" t="s">
        <v>260</v>
      </c>
      <c r="E135" s="21">
        <v>14</v>
      </c>
      <c r="F135" s="21">
        <v>22</v>
      </c>
      <c r="G135" s="21">
        <v>36</v>
      </c>
      <c r="H135" s="21">
        <v>70</v>
      </c>
      <c r="I135" s="27">
        <f t="shared" ref="I135:I149" si="11">H135/(E135*F135)</f>
        <v>0.22727272727272727</v>
      </c>
      <c r="J135" s="21" t="s">
        <v>263</v>
      </c>
      <c r="K135" s="29" t="s">
        <v>260</v>
      </c>
      <c r="L135" s="25" t="s">
        <v>419</v>
      </c>
    </row>
    <row r="136" spans="1:12" ht="40" customHeight="1" x14ac:dyDescent="0.2">
      <c r="A136" s="21">
        <v>136</v>
      </c>
      <c r="B136" s="21" t="s">
        <v>421</v>
      </c>
      <c r="C136" s="21" t="s">
        <v>157</v>
      </c>
      <c r="D136" s="22" t="s">
        <v>260</v>
      </c>
      <c r="E136" s="21">
        <v>73</v>
      </c>
      <c r="F136" s="21">
        <v>128</v>
      </c>
      <c r="G136" s="21">
        <v>201</v>
      </c>
      <c r="H136" s="21">
        <v>826</v>
      </c>
      <c r="I136" s="27">
        <f t="shared" si="11"/>
        <v>8.8398972602739725E-2</v>
      </c>
      <c r="J136" s="21" t="s">
        <v>263</v>
      </c>
      <c r="K136" s="29" t="s">
        <v>260</v>
      </c>
      <c r="L136" s="25" t="s">
        <v>420</v>
      </c>
    </row>
    <row r="137" spans="1:12" ht="35" customHeight="1" x14ac:dyDescent="0.2">
      <c r="A137" s="21">
        <v>137</v>
      </c>
      <c r="B137" s="21" t="s">
        <v>422</v>
      </c>
      <c r="C137" s="21" t="s">
        <v>157</v>
      </c>
      <c r="D137" s="22" t="s">
        <v>260</v>
      </c>
      <c r="E137" s="21">
        <v>14</v>
      </c>
      <c r="F137" s="21">
        <v>42</v>
      </c>
      <c r="G137" s="21">
        <v>56</v>
      </c>
      <c r="H137" s="21">
        <v>119</v>
      </c>
      <c r="I137" s="27">
        <f t="shared" si="11"/>
        <v>0.20238095238095238</v>
      </c>
      <c r="J137" s="21" t="s">
        <v>263</v>
      </c>
      <c r="K137" s="29" t="s">
        <v>260</v>
      </c>
      <c r="L137" s="25" t="s">
        <v>423</v>
      </c>
    </row>
    <row r="138" spans="1:12" ht="30" customHeight="1" x14ac:dyDescent="0.2">
      <c r="A138" s="21">
        <v>138</v>
      </c>
      <c r="B138" s="21" t="s">
        <v>424</v>
      </c>
      <c r="C138" s="21" t="s">
        <v>157</v>
      </c>
      <c r="D138" s="22" t="s">
        <v>260</v>
      </c>
      <c r="E138" s="21">
        <v>60</v>
      </c>
      <c r="F138" s="21">
        <v>75</v>
      </c>
      <c r="G138" s="21">
        <v>135</v>
      </c>
      <c r="H138" s="21">
        <v>780</v>
      </c>
      <c r="I138" s="27">
        <f t="shared" si="11"/>
        <v>0.17333333333333334</v>
      </c>
      <c r="J138" s="21" t="s">
        <v>263</v>
      </c>
      <c r="K138" s="29" t="s">
        <v>260</v>
      </c>
      <c r="L138" s="25" t="s">
        <v>425</v>
      </c>
    </row>
    <row r="139" spans="1:12" ht="28" customHeight="1" x14ac:dyDescent="0.2">
      <c r="A139" s="21">
        <v>139</v>
      </c>
      <c r="B139" s="21" t="s">
        <v>426</v>
      </c>
      <c r="C139" s="21" t="s">
        <v>157</v>
      </c>
      <c r="D139" s="22" t="s">
        <v>260</v>
      </c>
      <c r="E139" s="21">
        <v>90</v>
      </c>
      <c r="F139" s="21">
        <v>68</v>
      </c>
      <c r="G139" s="21">
        <v>158</v>
      </c>
      <c r="H139" s="21">
        <v>586</v>
      </c>
      <c r="I139" s="27">
        <f t="shared" si="11"/>
        <v>9.5751633986928111E-2</v>
      </c>
      <c r="J139" s="21" t="s">
        <v>263</v>
      </c>
      <c r="K139" s="29" t="s">
        <v>260</v>
      </c>
      <c r="L139" s="25" t="s">
        <v>427</v>
      </c>
    </row>
    <row r="140" spans="1:12" ht="27" customHeight="1" x14ac:dyDescent="0.2">
      <c r="A140" s="21">
        <v>140</v>
      </c>
      <c r="B140" s="21" t="s">
        <v>429</v>
      </c>
      <c r="C140" s="21" t="s">
        <v>157</v>
      </c>
      <c r="D140" s="22" t="s">
        <v>260</v>
      </c>
      <c r="E140" s="21">
        <v>43</v>
      </c>
      <c r="F140" s="21">
        <v>47</v>
      </c>
      <c r="G140" s="21">
        <v>90</v>
      </c>
      <c r="H140" s="21">
        <v>355</v>
      </c>
      <c r="I140" s="27">
        <f t="shared" si="11"/>
        <v>0.17565561603166749</v>
      </c>
      <c r="J140" s="21" t="s">
        <v>263</v>
      </c>
      <c r="K140" s="29" t="s">
        <v>260</v>
      </c>
      <c r="L140" s="25" t="s">
        <v>428</v>
      </c>
    </row>
    <row r="141" spans="1:12" ht="27" customHeight="1" x14ac:dyDescent="0.2">
      <c r="A141" s="21">
        <v>141</v>
      </c>
      <c r="B141" s="21" t="s">
        <v>430</v>
      </c>
      <c r="C141" s="21" t="s">
        <v>157</v>
      </c>
      <c r="D141" s="22" t="s">
        <v>260</v>
      </c>
      <c r="E141" s="21">
        <v>140</v>
      </c>
      <c r="F141" s="21">
        <v>98</v>
      </c>
      <c r="G141" s="21">
        <v>238</v>
      </c>
      <c r="H141" s="21">
        <v>572</v>
      </c>
      <c r="I141" s="27">
        <f t="shared" si="11"/>
        <v>4.1690962099125366E-2</v>
      </c>
      <c r="J141" s="21" t="s">
        <v>262</v>
      </c>
      <c r="K141" s="29" t="s">
        <v>441</v>
      </c>
      <c r="L141" s="25" t="s">
        <v>439</v>
      </c>
    </row>
    <row r="142" spans="1:12" ht="27" customHeight="1" x14ac:dyDescent="0.2">
      <c r="A142" s="21">
        <v>142</v>
      </c>
      <c r="B142" s="21" t="s">
        <v>431</v>
      </c>
      <c r="C142" s="21" t="s">
        <v>157</v>
      </c>
      <c r="D142" s="22" t="s">
        <v>260</v>
      </c>
      <c r="E142" s="21">
        <v>7</v>
      </c>
      <c r="F142" s="21">
        <v>14</v>
      </c>
      <c r="G142" s="21">
        <v>21</v>
      </c>
      <c r="H142" s="21">
        <v>25</v>
      </c>
      <c r="I142" s="27">
        <f t="shared" si="11"/>
        <v>0.25510204081632654</v>
      </c>
      <c r="J142" s="21" t="s">
        <v>262</v>
      </c>
      <c r="K142" s="29" t="s">
        <v>440</v>
      </c>
      <c r="L142" s="25" t="s">
        <v>439</v>
      </c>
    </row>
    <row r="143" spans="1:12" ht="27" customHeight="1" x14ac:dyDescent="0.2">
      <c r="A143" s="21">
        <v>143</v>
      </c>
      <c r="B143" s="21" t="s">
        <v>432</v>
      </c>
      <c r="C143" s="21" t="s">
        <v>157</v>
      </c>
      <c r="D143" s="22" t="s">
        <v>260</v>
      </c>
      <c r="E143" s="21">
        <v>230</v>
      </c>
      <c r="F143" s="21">
        <v>147</v>
      </c>
      <c r="G143" s="21">
        <v>377</v>
      </c>
      <c r="H143" s="21">
        <v>1419</v>
      </c>
      <c r="I143" s="27">
        <f t="shared" si="11"/>
        <v>4.1969831410825199E-2</v>
      </c>
      <c r="J143" s="21" t="s">
        <v>262</v>
      </c>
      <c r="K143" s="29" t="s">
        <v>442</v>
      </c>
      <c r="L143" s="25" t="s">
        <v>439</v>
      </c>
    </row>
    <row r="144" spans="1:12" ht="27" customHeight="1" x14ac:dyDescent="0.2">
      <c r="A144" s="21">
        <v>144</v>
      </c>
      <c r="B144" s="21" t="s">
        <v>433</v>
      </c>
      <c r="C144" s="21" t="s">
        <v>157</v>
      </c>
      <c r="D144" s="22" t="s">
        <v>260</v>
      </c>
      <c r="E144" s="21">
        <v>19</v>
      </c>
      <c r="F144" s="21">
        <v>8</v>
      </c>
      <c r="G144" s="21">
        <v>27</v>
      </c>
      <c r="H144" s="21">
        <v>45</v>
      </c>
      <c r="I144" s="27">
        <f t="shared" si="11"/>
        <v>0.29605263157894735</v>
      </c>
      <c r="J144" s="21" t="s">
        <v>262</v>
      </c>
      <c r="K144" s="29" t="s">
        <v>443</v>
      </c>
      <c r="L144" s="25" t="s">
        <v>439</v>
      </c>
    </row>
    <row r="145" spans="1:12" ht="27" customHeight="1" x14ac:dyDescent="0.2">
      <c r="A145" s="21">
        <v>145</v>
      </c>
      <c r="B145" s="21" t="s">
        <v>434</v>
      </c>
      <c r="C145" s="21" t="s">
        <v>157</v>
      </c>
      <c r="D145" s="22" t="s">
        <v>260</v>
      </c>
      <c r="E145" s="21">
        <v>153</v>
      </c>
      <c r="F145" s="21">
        <v>133</v>
      </c>
      <c r="G145" s="21">
        <v>286</v>
      </c>
      <c r="H145" s="21">
        <v>795</v>
      </c>
      <c r="I145" s="27">
        <f t="shared" si="11"/>
        <v>3.9068258882500366E-2</v>
      </c>
      <c r="J145" s="21" t="s">
        <v>262</v>
      </c>
      <c r="K145" s="29" t="s">
        <v>444</v>
      </c>
      <c r="L145" s="25" t="s">
        <v>439</v>
      </c>
    </row>
    <row r="146" spans="1:12" ht="27" customHeight="1" x14ac:dyDescent="0.2">
      <c r="A146" s="21">
        <v>146</v>
      </c>
      <c r="B146" s="21" t="s">
        <v>435</v>
      </c>
      <c r="C146" s="21" t="s">
        <v>157</v>
      </c>
      <c r="D146" s="22" t="s">
        <v>260</v>
      </c>
      <c r="E146" s="21">
        <v>236</v>
      </c>
      <c r="F146" s="21">
        <v>150</v>
      </c>
      <c r="G146" s="21">
        <v>386</v>
      </c>
      <c r="H146" s="21">
        <v>1543</v>
      </c>
      <c r="I146" s="27">
        <f t="shared" si="11"/>
        <v>4.3587570621468924E-2</v>
      </c>
      <c r="J146" s="21" t="s">
        <v>262</v>
      </c>
      <c r="K146" s="29" t="s">
        <v>445</v>
      </c>
      <c r="L146" s="25" t="s">
        <v>439</v>
      </c>
    </row>
    <row r="147" spans="1:12" ht="27" customHeight="1" x14ac:dyDescent="0.2">
      <c r="A147" s="21">
        <v>147</v>
      </c>
      <c r="B147" s="21" t="s">
        <v>436</v>
      </c>
      <c r="C147" s="21" t="s">
        <v>157</v>
      </c>
      <c r="D147" s="22" t="s">
        <v>260</v>
      </c>
      <c r="E147" s="21">
        <v>361</v>
      </c>
      <c r="F147" s="21">
        <v>226</v>
      </c>
      <c r="G147" s="21">
        <v>587</v>
      </c>
      <c r="H147" s="21">
        <v>2398</v>
      </c>
      <c r="I147" s="27">
        <f t="shared" si="11"/>
        <v>2.9392297698134486E-2</v>
      </c>
      <c r="J147" s="21" t="s">
        <v>262</v>
      </c>
      <c r="K147" s="29" t="s">
        <v>446</v>
      </c>
      <c r="L147" s="25" t="s">
        <v>439</v>
      </c>
    </row>
    <row r="148" spans="1:12" ht="27" customHeight="1" x14ac:dyDescent="0.2">
      <c r="A148" s="21">
        <v>148</v>
      </c>
      <c r="B148" s="21" t="s">
        <v>437</v>
      </c>
      <c r="C148" s="21" t="s">
        <v>157</v>
      </c>
      <c r="D148" s="22" t="s">
        <v>260</v>
      </c>
      <c r="E148" s="21">
        <v>74</v>
      </c>
      <c r="F148" s="21">
        <v>53</v>
      </c>
      <c r="G148" s="21">
        <v>127</v>
      </c>
      <c r="H148" s="21">
        <v>244</v>
      </c>
      <c r="I148" s="27">
        <f t="shared" si="11"/>
        <v>6.2213156552779196E-2</v>
      </c>
      <c r="J148" s="21" t="s">
        <v>262</v>
      </c>
      <c r="K148" s="29" t="s">
        <v>447</v>
      </c>
      <c r="L148" s="25" t="s">
        <v>439</v>
      </c>
    </row>
    <row r="149" spans="1:12" ht="27" customHeight="1" x14ac:dyDescent="0.2">
      <c r="A149" s="21">
        <v>149</v>
      </c>
      <c r="B149" s="21" t="s">
        <v>438</v>
      </c>
      <c r="C149" s="21" t="s">
        <v>157</v>
      </c>
      <c r="D149" s="22" t="s">
        <v>260</v>
      </c>
      <c r="E149" s="21">
        <v>90</v>
      </c>
      <c r="F149" s="21">
        <v>65</v>
      </c>
      <c r="G149" s="21">
        <v>155</v>
      </c>
      <c r="H149" s="21">
        <v>408</v>
      </c>
      <c r="I149" s="27">
        <f t="shared" si="11"/>
        <v>6.974358974358974E-2</v>
      </c>
      <c r="J149" s="21" t="s">
        <v>262</v>
      </c>
      <c r="K149" s="29" t="s">
        <v>448</v>
      </c>
      <c r="L149" s="25" t="s">
        <v>439</v>
      </c>
    </row>
    <row r="150" spans="1:12" ht="28" x14ac:dyDescent="0.2">
      <c r="A150" s="21">
        <v>150</v>
      </c>
      <c r="B150" s="21" t="s">
        <v>450</v>
      </c>
      <c r="C150" s="21" t="s">
        <v>157</v>
      </c>
      <c r="D150" s="22" t="s">
        <v>260</v>
      </c>
      <c r="E150" s="21">
        <v>44</v>
      </c>
      <c r="F150" s="21">
        <v>42</v>
      </c>
      <c r="G150" s="21">
        <v>86</v>
      </c>
      <c r="H150" s="21">
        <v>260</v>
      </c>
      <c r="I150" s="27">
        <f>H150/(E150*F150)</f>
        <v>0.1406926406926407</v>
      </c>
      <c r="J150" s="21" t="s">
        <v>262</v>
      </c>
      <c r="K150" s="29" t="s">
        <v>451</v>
      </c>
      <c r="L150" s="25" t="s">
        <v>449</v>
      </c>
    </row>
    <row r="151" spans="1:12" ht="40" customHeight="1" x14ac:dyDescent="0.2">
      <c r="A151" s="21">
        <v>151</v>
      </c>
      <c r="B151" s="21" t="s">
        <v>453</v>
      </c>
      <c r="C151" s="21" t="s">
        <v>157</v>
      </c>
      <c r="D151" s="22" t="s">
        <v>260</v>
      </c>
      <c r="E151" s="21">
        <v>88</v>
      </c>
      <c r="F151" s="21">
        <v>33</v>
      </c>
      <c r="G151" s="21">
        <v>121</v>
      </c>
      <c r="H151" s="21">
        <v>507</v>
      </c>
      <c r="I151" s="27">
        <f>H151/(E151*F151)</f>
        <v>0.17458677685950413</v>
      </c>
      <c r="J151" s="21" t="s">
        <v>263</v>
      </c>
      <c r="K151" s="29" t="s">
        <v>260</v>
      </c>
      <c r="L151" s="25" t="s">
        <v>469</v>
      </c>
    </row>
    <row r="152" spans="1:12" ht="45" x14ac:dyDescent="0.2">
      <c r="A152" s="21">
        <v>152</v>
      </c>
      <c r="B152" s="21" t="s">
        <v>454</v>
      </c>
      <c r="C152" s="21" t="s">
        <v>157</v>
      </c>
      <c r="D152" s="22" t="s">
        <v>260</v>
      </c>
      <c r="E152" s="21">
        <v>22</v>
      </c>
      <c r="F152" s="21">
        <v>45</v>
      </c>
      <c r="G152" s="21">
        <v>67</v>
      </c>
      <c r="H152" s="21">
        <v>116</v>
      </c>
      <c r="I152" s="27">
        <f>H152/(E152*F152)</f>
        <v>0.11717171717171718</v>
      </c>
      <c r="J152" s="21" t="s">
        <v>263</v>
      </c>
      <c r="K152" s="29" t="s">
        <v>462</v>
      </c>
      <c r="L152" s="25" t="s">
        <v>488</v>
      </c>
    </row>
    <row r="153" spans="1:12" ht="45" x14ac:dyDescent="0.2">
      <c r="A153" s="21">
        <v>153</v>
      </c>
      <c r="B153" s="21" t="s">
        <v>455</v>
      </c>
      <c r="C153" s="21" t="s">
        <v>157</v>
      </c>
      <c r="D153" s="22" t="s">
        <v>260</v>
      </c>
      <c r="E153" s="21">
        <v>26</v>
      </c>
      <c r="F153" s="21">
        <v>39</v>
      </c>
      <c r="G153" s="21">
        <v>65</v>
      </c>
      <c r="H153" s="21">
        <v>122</v>
      </c>
      <c r="I153" s="27">
        <f>H153/(E153*F153)</f>
        <v>0.1203155818540434</v>
      </c>
      <c r="J153" s="21" t="s">
        <v>263</v>
      </c>
      <c r="K153" s="29" t="s">
        <v>463</v>
      </c>
      <c r="L153" s="25" t="s">
        <v>488</v>
      </c>
    </row>
    <row r="154" spans="1:12" ht="45" x14ac:dyDescent="0.2">
      <c r="A154" s="21">
        <v>154</v>
      </c>
      <c r="B154" s="21" t="s">
        <v>456</v>
      </c>
      <c r="C154" s="21" t="s">
        <v>157</v>
      </c>
      <c r="D154" s="22" t="s">
        <v>260</v>
      </c>
      <c r="E154" s="21">
        <v>26</v>
      </c>
      <c r="F154" s="21">
        <v>51</v>
      </c>
      <c r="G154" s="21">
        <v>77</v>
      </c>
      <c r="H154" s="21">
        <v>125</v>
      </c>
      <c r="I154" s="27">
        <f t="shared" ref="I154:I161" si="12">H154/(E154*F154)</f>
        <v>9.4268476621417796E-2</v>
      </c>
      <c r="J154" s="21" t="s">
        <v>263</v>
      </c>
      <c r="K154" s="29" t="s">
        <v>464</v>
      </c>
      <c r="L154" s="25" t="s">
        <v>488</v>
      </c>
    </row>
    <row r="155" spans="1:12" ht="45" x14ac:dyDescent="0.2">
      <c r="A155" s="21">
        <v>155</v>
      </c>
      <c r="B155" s="21" t="s">
        <v>457</v>
      </c>
      <c r="C155" s="21" t="s">
        <v>157</v>
      </c>
      <c r="D155" s="22" t="s">
        <v>260</v>
      </c>
      <c r="E155" s="21">
        <v>20</v>
      </c>
      <c r="F155" s="21">
        <v>38</v>
      </c>
      <c r="G155" s="21">
        <v>58</v>
      </c>
      <c r="H155" s="21">
        <v>79</v>
      </c>
      <c r="I155" s="27">
        <f t="shared" si="12"/>
        <v>0.10394736842105264</v>
      </c>
      <c r="J155" s="21" t="s">
        <v>263</v>
      </c>
      <c r="K155" s="29" t="s">
        <v>465</v>
      </c>
      <c r="L155" s="25" t="s">
        <v>488</v>
      </c>
    </row>
    <row r="156" spans="1:12" ht="45" x14ac:dyDescent="0.2">
      <c r="A156" s="21">
        <v>156</v>
      </c>
      <c r="B156" s="21" t="s">
        <v>458</v>
      </c>
      <c r="C156" s="21" t="s">
        <v>157</v>
      </c>
      <c r="D156" s="22" t="s">
        <v>260</v>
      </c>
      <c r="E156" s="21">
        <v>19</v>
      </c>
      <c r="F156" s="21">
        <v>13</v>
      </c>
      <c r="G156" s="21">
        <v>32</v>
      </c>
      <c r="H156" s="21">
        <v>54</v>
      </c>
      <c r="I156" s="27">
        <f t="shared" si="12"/>
        <v>0.21862348178137653</v>
      </c>
      <c r="J156" s="21" t="s">
        <v>263</v>
      </c>
      <c r="K156" s="29" t="s">
        <v>487</v>
      </c>
      <c r="L156" s="25" t="s">
        <v>488</v>
      </c>
    </row>
    <row r="157" spans="1:12" ht="45" x14ac:dyDescent="0.2">
      <c r="A157" s="21">
        <v>157</v>
      </c>
      <c r="B157" s="21" t="s">
        <v>459</v>
      </c>
      <c r="C157" s="21" t="s">
        <v>157</v>
      </c>
      <c r="D157" s="22" t="s">
        <v>260</v>
      </c>
      <c r="E157" s="21">
        <v>52</v>
      </c>
      <c r="F157" s="21">
        <v>61</v>
      </c>
      <c r="G157" s="21">
        <v>113</v>
      </c>
      <c r="H157" s="21">
        <v>394</v>
      </c>
      <c r="I157" s="27">
        <f t="shared" si="12"/>
        <v>0.12421185372005045</v>
      </c>
      <c r="J157" s="21" t="s">
        <v>263</v>
      </c>
      <c r="K157" s="29" t="s">
        <v>466</v>
      </c>
      <c r="L157" s="25" t="s">
        <v>488</v>
      </c>
    </row>
    <row r="158" spans="1:12" ht="45" x14ac:dyDescent="0.2">
      <c r="A158" s="21">
        <v>158</v>
      </c>
      <c r="B158" s="21" t="s">
        <v>460</v>
      </c>
      <c r="C158" s="21" t="s">
        <v>157</v>
      </c>
      <c r="D158" s="22" t="s">
        <v>260</v>
      </c>
      <c r="E158" s="21">
        <v>31</v>
      </c>
      <c r="F158" s="21">
        <v>41</v>
      </c>
      <c r="G158" s="21">
        <v>77</v>
      </c>
      <c r="H158" s="21">
        <v>207</v>
      </c>
      <c r="I158" s="27">
        <f t="shared" si="12"/>
        <v>0.16286388670338317</v>
      </c>
      <c r="J158" s="21" t="s">
        <v>263</v>
      </c>
      <c r="K158" s="29" t="s">
        <v>467</v>
      </c>
      <c r="L158" s="25" t="s">
        <v>488</v>
      </c>
    </row>
    <row r="159" spans="1:12" ht="45" x14ac:dyDescent="0.2">
      <c r="A159" s="21">
        <v>159</v>
      </c>
      <c r="B159" s="21" t="s">
        <v>461</v>
      </c>
      <c r="C159" s="21" t="s">
        <v>157</v>
      </c>
      <c r="D159" s="22" t="s">
        <v>260</v>
      </c>
      <c r="E159" s="21">
        <v>31</v>
      </c>
      <c r="F159" s="21">
        <v>41</v>
      </c>
      <c r="G159" s="21">
        <v>72</v>
      </c>
      <c r="H159" s="21">
        <v>145</v>
      </c>
      <c r="I159" s="27">
        <f>H159/(E160*F160)</f>
        <v>0.36616161616161619</v>
      </c>
      <c r="J159" s="21" t="s">
        <v>263</v>
      </c>
      <c r="K159" s="29" t="s">
        <v>484</v>
      </c>
      <c r="L159" s="25" t="s">
        <v>488</v>
      </c>
    </row>
    <row r="160" spans="1:12" ht="45" x14ac:dyDescent="0.2">
      <c r="A160" s="21">
        <v>160</v>
      </c>
      <c r="B160" s="21" t="s">
        <v>470</v>
      </c>
      <c r="C160" s="21" t="s">
        <v>157</v>
      </c>
      <c r="D160" s="22" t="s">
        <v>260</v>
      </c>
      <c r="E160" s="21">
        <v>18</v>
      </c>
      <c r="F160" s="21">
        <v>22</v>
      </c>
      <c r="G160" s="21">
        <v>40</v>
      </c>
      <c r="H160" s="21">
        <v>66</v>
      </c>
      <c r="I160" s="27">
        <f>H160/(E161*F161)</f>
        <v>9.7777777777777783E-2</v>
      </c>
      <c r="J160" s="21" t="s">
        <v>263</v>
      </c>
      <c r="K160" s="29" t="s">
        <v>485</v>
      </c>
      <c r="L160" s="25" t="s">
        <v>488</v>
      </c>
    </row>
    <row r="161" spans="1:12" ht="45" x14ac:dyDescent="0.2">
      <c r="A161" s="21">
        <v>161</v>
      </c>
      <c r="B161" s="21" t="s">
        <v>471</v>
      </c>
      <c r="C161" s="21" t="s">
        <v>157</v>
      </c>
      <c r="D161" s="22" t="s">
        <v>260</v>
      </c>
      <c r="E161" s="21">
        <v>27</v>
      </c>
      <c r="F161" s="21">
        <v>25</v>
      </c>
      <c r="G161" s="21">
        <v>51</v>
      </c>
      <c r="H161" s="21">
        <v>106</v>
      </c>
      <c r="I161" s="27">
        <f t="shared" si="12"/>
        <v>0.15703703703703703</v>
      </c>
      <c r="J161" s="21" t="s">
        <v>263</v>
      </c>
      <c r="K161" s="29" t="s">
        <v>468</v>
      </c>
      <c r="L161" s="25" t="s">
        <v>488</v>
      </c>
    </row>
    <row r="162" spans="1:12" ht="45" x14ac:dyDescent="0.2">
      <c r="A162" s="21">
        <v>162</v>
      </c>
      <c r="B162" s="21" t="s">
        <v>472</v>
      </c>
      <c r="C162" s="21" t="s">
        <v>157</v>
      </c>
      <c r="D162" s="22" t="s">
        <v>260</v>
      </c>
      <c r="E162" s="21">
        <v>12</v>
      </c>
      <c r="F162" s="21">
        <v>17</v>
      </c>
      <c r="G162" s="21">
        <v>29</v>
      </c>
      <c r="H162" s="21">
        <v>56</v>
      </c>
      <c r="I162" s="21">
        <f>H162/(E162*F162)</f>
        <v>0.27450980392156865</v>
      </c>
      <c r="J162" s="21" t="s">
        <v>262</v>
      </c>
      <c r="K162" s="29" t="s">
        <v>477</v>
      </c>
      <c r="L162" s="25" t="s">
        <v>476</v>
      </c>
    </row>
    <row r="163" spans="1:12" ht="45" x14ac:dyDescent="0.2">
      <c r="A163" s="21">
        <v>163</v>
      </c>
      <c r="B163" s="21" t="s">
        <v>473</v>
      </c>
      <c r="C163" s="21" t="s">
        <v>157</v>
      </c>
      <c r="D163" s="22" t="s">
        <v>260</v>
      </c>
      <c r="E163" s="21">
        <v>13</v>
      </c>
      <c r="F163" s="21">
        <v>22</v>
      </c>
      <c r="G163" s="21">
        <v>35</v>
      </c>
      <c r="H163" s="21">
        <v>54</v>
      </c>
      <c r="I163" s="21">
        <f t="shared" ref="I163:I167" si="13">H163/(E163*F163)</f>
        <v>0.1888111888111888</v>
      </c>
      <c r="J163" s="21" t="s">
        <v>262</v>
      </c>
      <c r="K163" s="29" t="s">
        <v>480</v>
      </c>
      <c r="L163" s="25" t="s">
        <v>476</v>
      </c>
    </row>
    <row r="164" spans="1:12" ht="45" x14ac:dyDescent="0.2">
      <c r="A164" s="21">
        <v>164</v>
      </c>
      <c r="B164" s="21" t="s">
        <v>474</v>
      </c>
      <c r="C164" s="21" t="s">
        <v>157</v>
      </c>
      <c r="D164" s="22" t="s">
        <v>260</v>
      </c>
      <c r="E164" s="21">
        <v>14</v>
      </c>
      <c r="F164" s="21">
        <v>25</v>
      </c>
      <c r="G164" s="21">
        <v>39</v>
      </c>
      <c r="H164" s="21">
        <v>55</v>
      </c>
      <c r="I164" s="21">
        <f t="shared" si="13"/>
        <v>0.15714285714285714</v>
      </c>
      <c r="J164" s="21" t="s">
        <v>262</v>
      </c>
      <c r="K164" s="29" t="s">
        <v>479</v>
      </c>
      <c r="L164" s="25" t="s">
        <v>476</v>
      </c>
    </row>
    <row r="165" spans="1:12" ht="45" x14ac:dyDescent="0.2">
      <c r="A165" s="21">
        <v>165</v>
      </c>
      <c r="B165" s="21" t="s">
        <v>475</v>
      </c>
      <c r="C165" s="21" t="s">
        <v>157</v>
      </c>
      <c r="D165" s="22" t="s">
        <v>260</v>
      </c>
      <c r="E165" s="21">
        <v>13</v>
      </c>
      <c r="F165" s="21">
        <v>24</v>
      </c>
      <c r="G165" s="21">
        <v>37</v>
      </c>
      <c r="H165" s="21">
        <v>67</v>
      </c>
      <c r="I165" s="21">
        <f t="shared" si="13"/>
        <v>0.21474358974358973</v>
      </c>
      <c r="J165" s="21" t="s">
        <v>262</v>
      </c>
      <c r="K165" s="29" t="s">
        <v>478</v>
      </c>
      <c r="L165" s="25" t="s">
        <v>476</v>
      </c>
    </row>
    <row r="166" spans="1:12" ht="45" x14ac:dyDescent="0.2">
      <c r="A166" s="21">
        <v>166</v>
      </c>
      <c r="B166" s="21" t="s">
        <v>483</v>
      </c>
      <c r="C166" s="21" t="s">
        <v>157</v>
      </c>
      <c r="D166" s="22" t="s">
        <v>260</v>
      </c>
      <c r="E166" s="21">
        <v>18</v>
      </c>
      <c r="F166" s="21">
        <v>26</v>
      </c>
      <c r="G166" s="21">
        <v>44</v>
      </c>
      <c r="H166" s="21">
        <v>73</v>
      </c>
      <c r="I166" s="21">
        <f>H166/(E166*F166)</f>
        <v>0.15598290598290598</v>
      </c>
      <c r="J166" s="21" t="s">
        <v>262</v>
      </c>
      <c r="K166" s="29" t="s">
        <v>481</v>
      </c>
      <c r="L166" s="25" t="s">
        <v>476</v>
      </c>
    </row>
    <row r="167" spans="1:12" ht="45" x14ac:dyDescent="0.2">
      <c r="A167" s="21">
        <v>167</v>
      </c>
      <c r="B167" s="21" t="s">
        <v>486</v>
      </c>
      <c r="C167" s="21" t="s">
        <v>157</v>
      </c>
      <c r="D167" s="22" t="s">
        <v>260</v>
      </c>
      <c r="E167" s="21">
        <v>15</v>
      </c>
      <c r="F167" s="21">
        <v>20</v>
      </c>
      <c r="G167" s="21">
        <v>35</v>
      </c>
      <c r="H167" s="21">
        <v>86</v>
      </c>
      <c r="I167" s="21">
        <f t="shared" si="13"/>
        <v>0.28666666666666668</v>
      </c>
      <c r="J167" s="21" t="s">
        <v>262</v>
      </c>
      <c r="K167" s="29" t="s">
        <v>482</v>
      </c>
      <c r="L167" s="25" t="s">
        <v>476</v>
      </c>
    </row>
    <row r="168" spans="1:12" ht="39" x14ac:dyDescent="0.2">
      <c r="A168" s="21">
        <v>168</v>
      </c>
      <c r="B168" s="21" t="s">
        <v>489</v>
      </c>
      <c r="C168" s="21" t="s">
        <v>157</v>
      </c>
      <c r="D168" s="22" t="s">
        <v>260</v>
      </c>
      <c r="E168" s="21">
        <v>10</v>
      </c>
      <c r="F168" s="21">
        <v>33</v>
      </c>
      <c r="G168" s="21">
        <v>43</v>
      </c>
      <c r="H168" s="21">
        <v>115</v>
      </c>
      <c r="I168" s="21">
        <f t="shared" ref="I168" si="14">H168/(E168*F168)</f>
        <v>0.34848484848484851</v>
      </c>
      <c r="J168" s="21" t="s">
        <v>262</v>
      </c>
      <c r="K168" s="29" t="s">
        <v>260</v>
      </c>
      <c r="L168" s="25" t="s">
        <v>490</v>
      </c>
    </row>
    <row r="169" spans="1:12" ht="19" x14ac:dyDescent="0.2"/>
    <row r="170" spans="1:12" ht="19" x14ac:dyDescent="0.2"/>
    <row r="171" spans="1:12" ht="19" x14ac:dyDescent="0.2"/>
    <row r="172" spans="1:12" ht="19" x14ac:dyDescent="0.2"/>
    <row r="173" spans="1:12" ht="19" x14ac:dyDescent="0.2"/>
    <row r="174" spans="1:12" ht="19" x14ac:dyDescent="0.2"/>
    <row r="175" spans="1:12" ht="19" x14ac:dyDescent="0.2"/>
    <row r="176" spans="1:12" ht="19" x14ac:dyDescent="0.2"/>
    <row r="177" ht="19" x14ac:dyDescent="0.2"/>
    <row r="178" ht="19" x14ac:dyDescent="0.2"/>
    <row r="179" ht="19" x14ac:dyDescent="0.2"/>
    <row r="180" ht="19" x14ac:dyDescent="0.2"/>
    <row r="181" ht="19" x14ac:dyDescent="0.2"/>
    <row r="182" ht="19" x14ac:dyDescent="0.2"/>
    <row r="183" ht="19" x14ac:dyDescent="0.2"/>
    <row r="184" ht="19" x14ac:dyDescent="0.2"/>
    <row r="185" ht="19" x14ac:dyDescent="0.2"/>
    <row r="186" ht="19" x14ac:dyDescent="0.2"/>
    <row r="187" ht="19" x14ac:dyDescent="0.2"/>
    <row r="188" ht="19" x14ac:dyDescent="0.2"/>
  </sheetData>
  <phoneticPr fontId="11" type="noConversion"/>
  <hyperlinks>
    <hyperlink ref="L168" r:id="rId1" display="https://doi.org/10.1111/oik.08175" xr:uid="{C12CD38B-0609-BD48-8087-8A47A2F686A6}"/>
  </hyperlinks>
  <pageMargins left="0.7" right="0.7" top="0.75" bottom="0.75" header="0.3" footer="0.3"/>
  <pageSetup paperSize="9"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9984-63CC-DD4D-B248-C6A7EEA10C04}">
  <dimension ref="A1:J30"/>
  <sheetViews>
    <sheetView zoomScale="125" zoomScaleNormal="125" workbookViewId="0">
      <pane ySplit="1" topLeftCell="A2" activePane="bottomLeft" state="frozenSplit"/>
      <selection pane="bottomLeft" activeCell="E22" sqref="E22"/>
    </sheetView>
  </sheetViews>
  <sheetFormatPr baseColWidth="10" defaultRowHeight="53" customHeight="1" x14ac:dyDescent="0.2"/>
  <cols>
    <col min="1" max="2" width="6.5" style="1" customWidth="1"/>
    <col min="3" max="3" width="8.83203125" style="1" customWidth="1"/>
    <col min="4" max="4" width="6.33203125" style="1" customWidth="1"/>
    <col min="5" max="5" width="17.33203125" style="1" customWidth="1"/>
    <col min="6" max="6" width="80.33203125" style="11" customWidth="1"/>
    <col min="7" max="7" width="6.1640625" style="1" customWidth="1"/>
    <col min="8" max="16384" width="10.83203125" style="1"/>
  </cols>
  <sheetData>
    <row r="1" spans="1:10" ht="15" customHeight="1" x14ac:dyDescent="0.2">
      <c r="B1" s="2" t="s">
        <v>52</v>
      </c>
      <c r="C1" s="2" t="s">
        <v>5</v>
      </c>
      <c r="D1" s="3" t="s">
        <v>25</v>
      </c>
      <c r="E1" s="3" t="s">
        <v>45</v>
      </c>
      <c r="F1" s="4" t="s">
        <v>26</v>
      </c>
      <c r="I1" s="5"/>
      <c r="J1" s="5"/>
    </row>
    <row r="2" spans="1:10" ht="53" customHeight="1" x14ac:dyDescent="0.2">
      <c r="A2" s="6" t="s">
        <v>107</v>
      </c>
      <c r="B2" s="7" t="s">
        <v>40</v>
      </c>
      <c r="C2" s="7" t="s">
        <v>7</v>
      </c>
      <c r="D2" s="8" t="s">
        <v>46</v>
      </c>
      <c r="E2" s="5" t="s">
        <v>20</v>
      </c>
      <c r="F2" s="9" t="s">
        <v>114</v>
      </c>
      <c r="I2" s="5"/>
      <c r="J2" s="5"/>
    </row>
    <row r="3" spans="1:10" ht="89" customHeight="1" x14ac:dyDescent="0.2">
      <c r="A3" s="6" t="s">
        <v>107</v>
      </c>
      <c r="B3" s="7" t="s">
        <v>84</v>
      </c>
      <c r="C3" s="7" t="s">
        <v>7</v>
      </c>
      <c r="D3" s="8" t="s">
        <v>47</v>
      </c>
      <c r="E3" s="5" t="s">
        <v>23</v>
      </c>
      <c r="F3" s="9" t="s">
        <v>79</v>
      </c>
      <c r="I3" s="5"/>
      <c r="J3" s="5"/>
    </row>
    <row r="4" spans="1:10" ht="53" customHeight="1" x14ac:dyDescent="0.2">
      <c r="A4" s="1" t="s">
        <v>107</v>
      </c>
      <c r="B4" s="7" t="s">
        <v>17</v>
      </c>
      <c r="C4" s="7" t="s">
        <v>7</v>
      </c>
      <c r="D4" s="8" t="s">
        <v>91</v>
      </c>
      <c r="E4" s="5" t="s">
        <v>41</v>
      </c>
      <c r="F4" s="9" t="s">
        <v>18</v>
      </c>
      <c r="I4" s="5"/>
      <c r="J4" s="5"/>
    </row>
    <row r="5" spans="1:10" ht="53" customHeight="1" x14ac:dyDescent="0.2">
      <c r="A5" s="1" t="s">
        <v>107</v>
      </c>
      <c r="B5" s="7" t="s">
        <v>109</v>
      </c>
      <c r="C5" s="7" t="s">
        <v>7</v>
      </c>
      <c r="D5" s="10" t="s">
        <v>112</v>
      </c>
      <c r="E5" s="5" t="s">
        <v>113</v>
      </c>
      <c r="F5" s="9" t="s">
        <v>115</v>
      </c>
      <c r="I5" s="5"/>
      <c r="J5" s="5"/>
    </row>
    <row r="6" spans="1:10" ht="53" customHeight="1" x14ac:dyDescent="0.2">
      <c r="A6" s="1" t="s">
        <v>107</v>
      </c>
      <c r="B6" s="7" t="s">
        <v>109</v>
      </c>
      <c r="C6" s="7" t="s">
        <v>7</v>
      </c>
      <c r="D6" s="10" t="s">
        <v>110</v>
      </c>
      <c r="E6" s="5" t="s">
        <v>111</v>
      </c>
      <c r="F6" s="9" t="s">
        <v>18</v>
      </c>
      <c r="I6" s="5"/>
      <c r="J6" s="5"/>
    </row>
    <row r="7" spans="1:10" ht="53" customHeight="1" x14ac:dyDescent="0.2">
      <c r="A7" s="6" t="s">
        <v>107</v>
      </c>
      <c r="B7" s="7" t="s">
        <v>60</v>
      </c>
      <c r="C7" s="7" t="s">
        <v>6</v>
      </c>
      <c r="D7" s="1" t="s">
        <v>95</v>
      </c>
      <c r="E7" s="5" t="s">
        <v>61</v>
      </c>
      <c r="F7" s="9" t="s">
        <v>102</v>
      </c>
      <c r="I7" s="5"/>
      <c r="J7" s="5"/>
    </row>
    <row r="8" spans="1:10" ht="53" customHeight="1" x14ac:dyDescent="0.2">
      <c r="A8" s="6" t="s">
        <v>107</v>
      </c>
      <c r="B8" s="7" t="s">
        <v>62</v>
      </c>
      <c r="C8" s="7" t="s">
        <v>6</v>
      </c>
      <c r="D8" s="1" t="s">
        <v>94</v>
      </c>
      <c r="E8" s="5" t="s">
        <v>63</v>
      </c>
      <c r="F8" s="9" t="s">
        <v>102</v>
      </c>
      <c r="I8" s="5"/>
      <c r="J8" s="5"/>
    </row>
    <row r="9" spans="1:10" ht="53" customHeight="1" x14ac:dyDescent="0.2">
      <c r="A9" s="6" t="s">
        <v>107</v>
      </c>
      <c r="B9" s="7" t="s">
        <v>64</v>
      </c>
      <c r="C9" s="7" t="s">
        <v>6</v>
      </c>
      <c r="D9" s="1" t="s">
        <v>93</v>
      </c>
      <c r="E9" s="5" t="s">
        <v>65</v>
      </c>
      <c r="F9" s="9" t="s">
        <v>102</v>
      </c>
      <c r="I9" s="5"/>
      <c r="J9" s="5"/>
    </row>
    <row r="10" spans="1:10" ht="53" customHeight="1" x14ac:dyDescent="0.2">
      <c r="A10" s="6" t="s">
        <v>107</v>
      </c>
      <c r="B10" s="7" t="s">
        <v>66</v>
      </c>
      <c r="C10" s="7" t="s">
        <v>6</v>
      </c>
      <c r="D10" s="8" t="s">
        <v>92</v>
      </c>
      <c r="E10" s="5" t="s">
        <v>67</v>
      </c>
      <c r="F10" s="9" t="s">
        <v>102</v>
      </c>
      <c r="I10" s="5"/>
      <c r="J10" s="5"/>
    </row>
    <row r="11" spans="1:10" ht="53" customHeight="1" x14ac:dyDescent="0.2">
      <c r="A11" s="6" t="s">
        <v>107</v>
      </c>
      <c r="B11" s="7" t="s">
        <v>68</v>
      </c>
      <c r="C11" s="7" t="s">
        <v>6</v>
      </c>
      <c r="D11" s="8" t="s">
        <v>19</v>
      </c>
      <c r="E11" s="5" t="s">
        <v>69</v>
      </c>
      <c r="F11" s="9" t="s">
        <v>102</v>
      </c>
      <c r="I11" s="5"/>
      <c r="J11" s="5"/>
    </row>
    <row r="12" spans="1:10" ht="58" customHeight="1" x14ac:dyDescent="0.2">
      <c r="A12" s="6" t="s">
        <v>107</v>
      </c>
      <c r="B12" s="7" t="s">
        <v>70</v>
      </c>
      <c r="C12" s="7" t="s">
        <v>6</v>
      </c>
      <c r="D12" s="8" t="s">
        <v>90</v>
      </c>
      <c r="E12" s="5" t="s">
        <v>71</v>
      </c>
      <c r="F12" s="9" t="s">
        <v>102</v>
      </c>
      <c r="I12" s="5"/>
      <c r="J12" s="5"/>
    </row>
    <row r="13" spans="1:10" ht="58" customHeight="1" x14ac:dyDescent="0.2">
      <c r="A13" s="6" t="s">
        <v>107</v>
      </c>
      <c r="B13" s="7" t="s">
        <v>72</v>
      </c>
      <c r="C13" s="7" t="s">
        <v>6</v>
      </c>
      <c r="D13" s="8" t="s">
        <v>89</v>
      </c>
      <c r="E13" s="5" t="s">
        <v>73</v>
      </c>
      <c r="F13" s="9" t="s">
        <v>102</v>
      </c>
      <c r="G13" s="7"/>
      <c r="H13" s="5"/>
      <c r="I13" s="5"/>
      <c r="J13" s="5"/>
    </row>
    <row r="14" spans="1:10" ht="58" customHeight="1" x14ac:dyDescent="0.2">
      <c r="A14" s="6" t="s">
        <v>107</v>
      </c>
      <c r="B14" s="7" t="s">
        <v>88</v>
      </c>
      <c r="C14" s="7" t="s">
        <v>6</v>
      </c>
      <c r="D14" s="8" t="s">
        <v>27</v>
      </c>
      <c r="E14" s="5" t="s">
        <v>42</v>
      </c>
      <c r="F14" s="9" t="s">
        <v>104</v>
      </c>
      <c r="G14" s="7"/>
      <c r="H14" s="5"/>
      <c r="I14" s="5"/>
      <c r="J14" s="5"/>
    </row>
    <row r="15" spans="1:10" ht="58" customHeight="1" x14ac:dyDescent="0.2">
      <c r="A15" s="6" t="s">
        <v>107</v>
      </c>
      <c r="B15" s="7" t="s">
        <v>81</v>
      </c>
      <c r="C15" s="7" t="s">
        <v>6</v>
      </c>
      <c r="D15" s="8" t="s">
        <v>39</v>
      </c>
      <c r="E15" s="5" t="s">
        <v>96</v>
      </c>
      <c r="F15" s="9" t="s">
        <v>77</v>
      </c>
      <c r="G15" s="7"/>
      <c r="H15" s="5"/>
      <c r="I15" s="5"/>
      <c r="J15" s="5"/>
    </row>
    <row r="16" spans="1:10" ht="58" customHeight="1" x14ac:dyDescent="0.2">
      <c r="A16" s="6" t="s">
        <v>107</v>
      </c>
      <c r="B16" s="7" t="s">
        <v>82</v>
      </c>
      <c r="C16" s="7" t="s">
        <v>7</v>
      </c>
      <c r="D16" s="8" t="s">
        <v>29</v>
      </c>
      <c r="E16" s="5" t="s">
        <v>21</v>
      </c>
      <c r="F16" s="9" t="s">
        <v>44</v>
      </c>
      <c r="G16" s="7"/>
      <c r="H16" s="5"/>
      <c r="I16" s="5"/>
      <c r="J16" s="5"/>
    </row>
    <row r="17" spans="1:10" ht="58" customHeight="1" x14ac:dyDescent="0.2">
      <c r="A17" s="6" t="s">
        <v>107</v>
      </c>
      <c r="B17" s="7" t="s">
        <v>83</v>
      </c>
      <c r="C17" s="7" t="s">
        <v>7</v>
      </c>
      <c r="D17" s="8" t="s">
        <v>30</v>
      </c>
      <c r="E17" s="5" t="s">
        <v>22</v>
      </c>
      <c r="F17" s="9" t="s">
        <v>31</v>
      </c>
      <c r="G17" s="7"/>
      <c r="H17" s="5"/>
      <c r="I17" s="5"/>
      <c r="J17" s="5"/>
    </row>
    <row r="18" spans="1:10" ht="53" customHeight="1" x14ac:dyDescent="0.2">
      <c r="A18" s="6" t="s">
        <v>107</v>
      </c>
      <c r="B18" s="7" t="s">
        <v>85</v>
      </c>
      <c r="C18" s="7" t="s">
        <v>6</v>
      </c>
      <c r="D18" s="8" t="s">
        <v>34</v>
      </c>
      <c r="E18" s="5" t="s">
        <v>24</v>
      </c>
      <c r="F18" s="9" t="s">
        <v>106</v>
      </c>
      <c r="G18" s="7"/>
      <c r="H18" s="5"/>
      <c r="I18" s="5"/>
      <c r="J18" s="5"/>
    </row>
    <row r="19" spans="1:10" ht="53" customHeight="1" x14ac:dyDescent="0.2">
      <c r="A19" s="6" t="s">
        <v>107</v>
      </c>
      <c r="B19" s="7" t="s">
        <v>86</v>
      </c>
      <c r="C19" s="7" t="s">
        <v>7</v>
      </c>
      <c r="D19" s="8" t="s">
        <v>38</v>
      </c>
      <c r="E19" s="5" t="s">
        <v>97</v>
      </c>
      <c r="F19" s="9" t="s">
        <v>51</v>
      </c>
      <c r="G19" s="7"/>
      <c r="H19" s="5"/>
      <c r="I19" s="5"/>
      <c r="J19" s="5"/>
    </row>
    <row r="20" spans="1:10" ht="53" customHeight="1" x14ac:dyDescent="0.2">
      <c r="A20" s="6" t="s">
        <v>107</v>
      </c>
      <c r="B20" s="7" t="s">
        <v>87</v>
      </c>
      <c r="C20" s="7" t="s">
        <v>7</v>
      </c>
      <c r="D20" s="8" t="s">
        <v>36</v>
      </c>
      <c r="E20" s="5" t="s">
        <v>98</v>
      </c>
      <c r="F20" s="9" t="s">
        <v>49</v>
      </c>
      <c r="G20" s="7"/>
      <c r="H20" s="5"/>
      <c r="I20" s="5"/>
      <c r="J20" s="5"/>
    </row>
    <row r="21" spans="1:10" ht="53" customHeight="1" x14ac:dyDescent="0.2">
      <c r="A21" s="6" t="s">
        <v>107</v>
      </c>
      <c r="B21" s="7" t="s">
        <v>53</v>
      </c>
      <c r="C21" s="7" t="s">
        <v>6</v>
      </c>
      <c r="D21" s="8" t="s">
        <v>37</v>
      </c>
      <c r="E21" s="5" t="s">
        <v>54</v>
      </c>
      <c r="F21" s="9" t="s">
        <v>50</v>
      </c>
      <c r="I21" s="5"/>
      <c r="J21" s="5"/>
    </row>
    <row r="22" spans="1:10" ht="53" customHeight="1" x14ac:dyDescent="0.2">
      <c r="A22" s="6" t="s">
        <v>107</v>
      </c>
      <c r="B22" s="7" t="s">
        <v>55</v>
      </c>
      <c r="C22" s="7" t="s">
        <v>7</v>
      </c>
      <c r="D22" s="8" t="s">
        <v>28</v>
      </c>
      <c r="E22" s="5" t="s">
        <v>56</v>
      </c>
      <c r="F22" s="9" t="s">
        <v>43</v>
      </c>
    </row>
    <row r="23" spans="1:10" ht="53" customHeight="1" x14ac:dyDescent="0.2">
      <c r="A23" s="6" t="s">
        <v>107</v>
      </c>
      <c r="B23" s="7" t="s">
        <v>57</v>
      </c>
      <c r="C23" s="7" t="s">
        <v>7</v>
      </c>
      <c r="D23" s="8" t="s">
        <v>32</v>
      </c>
      <c r="E23" s="5" t="s">
        <v>99</v>
      </c>
      <c r="F23" s="9" t="s">
        <v>105</v>
      </c>
    </row>
    <row r="24" spans="1:10" ht="53" customHeight="1" x14ac:dyDescent="0.2">
      <c r="A24" s="6" t="s">
        <v>107</v>
      </c>
      <c r="B24" s="7" t="s">
        <v>58</v>
      </c>
      <c r="C24" s="7" t="s">
        <v>7</v>
      </c>
      <c r="D24" s="8" t="s">
        <v>33</v>
      </c>
      <c r="E24" s="5" t="s">
        <v>100</v>
      </c>
      <c r="F24" s="9" t="s">
        <v>105</v>
      </c>
    </row>
    <row r="25" spans="1:10" ht="53" customHeight="1" x14ac:dyDescent="0.2">
      <c r="A25" s="6" t="s">
        <v>107</v>
      </c>
      <c r="B25" s="7" t="s">
        <v>59</v>
      </c>
      <c r="C25" s="7" t="s">
        <v>6</v>
      </c>
      <c r="D25" s="8" t="s">
        <v>4</v>
      </c>
      <c r="E25" s="5" t="s">
        <v>101</v>
      </c>
      <c r="F25" s="9" t="s">
        <v>78</v>
      </c>
    </row>
    <row r="26" spans="1:10" ht="53" customHeight="1" x14ac:dyDescent="0.2">
      <c r="A26" s="6" t="s">
        <v>107</v>
      </c>
      <c r="B26" s="7" t="s">
        <v>74</v>
      </c>
      <c r="C26" s="7" t="s">
        <v>7</v>
      </c>
      <c r="D26" s="8" t="s">
        <v>48</v>
      </c>
      <c r="E26" s="5" t="s">
        <v>75</v>
      </c>
      <c r="F26" s="9" t="s">
        <v>80</v>
      </c>
    </row>
    <row r="27" spans="1:10" ht="53" customHeight="1" x14ac:dyDescent="0.2">
      <c r="A27" s="6" t="s">
        <v>107</v>
      </c>
      <c r="B27" s="7" t="s">
        <v>76</v>
      </c>
      <c r="C27" s="7" t="s">
        <v>7</v>
      </c>
      <c r="D27" s="8" t="s">
        <v>35</v>
      </c>
      <c r="E27" s="5" t="s">
        <v>16</v>
      </c>
      <c r="F27" s="9" t="s">
        <v>103</v>
      </c>
    </row>
    <row r="28" spans="1:10" ht="53" customHeight="1" x14ac:dyDescent="0.2">
      <c r="A28" s="1" t="s">
        <v>107</v>
      </c>
      <c r="B28" s="7" t="s">
        <v>8</v>
      </c>
      <c r="C28" s="7" t="s">
        <v>7</v>
      </c>
      <c r="D28" s="8" t="s">
        <v>13</v>
      </c>
      <c r="E28" s="5" t="s">
        <v>14</v>
      </c>
      <c r="F28" s="9" t="s">
        <v>10</v>
      </c>
    </row>
    <row r="29" spans="1:10" ht="53" customHeight="1" x14ac:dyDescent="0.2">
      <c r="A29" s="1" t="s">
        <v>107</v>
      </c>
      <c r="B29" s="7" t="s">
        <v>9</v>
      </c>
      <c r="C29" s="7" t="s">
        <v>6</v>
      </c>
      <c r="D29" s="8" t="s">
        <v>12</v>
      </c>
      <c r="E29" s="5" t="s">
        <v>15</v>
      </c>
      <c r="F29" s="9" t="s">
        <v>11</v>
      </c>
    </row>
    <row r="30" spans="1:10" ht="74" customHeight="1" x14ac:dyDescent="0.2">
      <c r="A30" s="6" t="s">
        <v>108</v>
      </c>
      <c r="B30" s="7" t="s">
        <v>0</v>
      </c>
      <c r="C30" s="7" t="s">
        <v>7</v>
      </c>
      <c r="D30" s="8" t="s">
        <v>1</v>
      </c>
      <c r="E30" s="5" t="s">
        <v>2</v>
      </c>
      <c r="F30" s="9" t="s">
        <v>3</v>
      </c>
    </row>
  </sheetData>
  <pageMargins left="0.75" right="0.75" top="0.98425196850393704" bottom="0.98425196850393704" header="0" footer="0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data</vt:lpstr>
      <vt:lpstr>Datasets</vt:lpstr>
      <vt:lpstr>Datasets!Área_de_impresión</vt:lpstr>
    </vt:vector>
  </TitlesOfParts>
  <Company>CSIC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Jordano</dc:creator>
  <cp:lastModifiedBy>Pedro Jordano</cp:lastModifiedBy>
  <cp:lastPrinted>2003-02-03T14:10:23Z</cp:lastPrinted>
  <dcterms:created xsi:type="dcterms:W3CDTF">2003-02-02T10:58:12Z</dcterms:created>
  <dcterms:modified xsi:type="dcterms:W3CDTF">2025-02-12T17:31:45Z</dcterms:modified>
</cp:coreProperties>
</file>